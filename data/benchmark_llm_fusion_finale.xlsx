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Synthese" sheetId="1" state="visible" r:id="rId3"/>
    <sheet name="01_Configurations" sheetId="2" state="visible" r:id="rId4"/>
    <sheet name="02_IRN_Detail" sheetId="3" state="visible" r:id="rId5"/>
    <sheet name="03_Performance" sheetId="4" state="visible" r:id="rId6"/>
    <sheet name="04_Exploitation" sheetId="5" state="visible" r:id="rId7"/>
    <sheet name="05_Profils_Ponderation" sheetId="6" state="visible" r:id="rId8"/>
    <sheet name="06_Score_Fusionne" sheetId="7" state="visible" r:id="rId9"/>
    <sheet name="07_Methodologie" sheetId="8" state="visible" r:id="rId10"/>
    <sheet name="08_Sourc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<sst xmlns="http://schemas.openxmlformats.org/spreadsheetml/2006/main" count="626" uniqueCount="319">
  <si>
    <t xml:space="preserve">Benchmark LLM — Souveraineté/IRN × Performance × Exploitation</t>
  </si>
  <si>
    <t xml:space="preserve">Synthèse — fusion finale, livre blanc IA souveraine (mai 2026)</t>
  </si>
  <si>
    <t xml:space="preserve">Lecture rapide</t>
  </si>
  <si>
    <t xml:space="preserve">Trois axes mesurés séparément : IRN (résilience/souveraineté, 16 critères), Performance (multi-bench Arena/Coding/MMLU-Pro/AAII normalisé par leader), Exploitation (coût/débit/latence). Score fusionné = IRN + Performance via 4 profils. Comparaisons à effectuer à tier équivalent (Frontier / Mid / Entry).</t>
  </si>
  <si>
    <t xml:space="preserve">Configuration</t>
  </si>
  <si>
    <t xml:space="preserve">Tier</t>
  </si>
  <si>
    <t xml:space="preserve">Bloc géo</t>
  </si>
  <si>
    <t xml:space="preserve">Mode</t>
  </si>
  <si>
    <t xml:space="preserve">IRN /5</t>
  </si>
  <si>
    <t xml:space="preserve">Perf /5</t>
  </si>
  <si>
    <t xml:space="preserve">P1 R&amp;D</t>
  </si>
  <si>
    <t xml:space="preserve">P2 Métier</t>
  </si>
  <si>
    <t xml:space="preserve">P3 SI crit.</t>
  </si>
  <si>
    <t xml:space="preserve">P4 Souverain</t>
  </si>
  <si>
    <t xml:space="preserve">$/1M tok</t>
  </si>
  <si>
    <t xml:space="preserve">Débit (tok/s)</t>
  </si>
  <si>
    <t xml:space="preserve">Mistral Small 3.1 self-hosted EU</t>
  </si>
  <si>
    <t xml:space="preserve">Entry</t>
  </si>
  <si>
    <t xml:space="preserve">Mistral Medium 3.1 via AI Studio EU</t>
  </si>
  <si>
    <t xml:space="preserve">Mid</t>
  </si>
  <si>
    <t xml:space="preserve">Aleph Alpha PhariaAI on-prem (Pharia native)</t>
  </si>
  <si>
    <t xml:space="preserve">Meta Llama 4 Maverick self-hosted EU</t>
  </si>
  <si>
    <t xml:space="preserve">Google Gemini 3.1 Pro on Vertex AI EU</t>
  </si>
  <si>
    <t xml:space="preserve">Frontier</t>
  </si>
  <si>
    <t xml:space="preserve">OpenAI GPT-5.4-high (résidence UE)</t>
  </si>
  <si>
    <t xml:space="preserve">Anthropic Claude Opus 4.6 (API directe)</t>
  </si>
  <si>
    <t xml:space="preserve">Alibaba Qwen3.5-Max via Model Studio FRA</t>
  </si>
  <si>
    <t xml:space="preserve">DeepSeek V3.2 Thinking (API directe)</t>
  </si>
  <si>
    <t xml:space="preserve">Mistral Large 2 self-hosted EU</t>
  </si>
  <si>
    <t xml:space="preserve">Meta Llama 4 Behemoth self-hosted EU</t>
  </si>
  <si>
    <t xml:space="preserve">Profils de pondération</t>
  </si>
  <si>
    <t xml:space="preserve">P1</t>
  </si>
  <si>
    <t xml:space="preserve">R&amp;D / exploration</t>
  </si>
  <si>
    <t xml:space="preserve">IRN 20% / Perf 80%</t>
  </si>
  <si>
    <t xml:space="preserve">P2</t>
  </si>
  <si>
    <t xml:space="preserve">Métier non-critique</t>
  </si>
  <si>
    <t xml:space="preserve">IRN 35% / Perf 65%</t>
  </si>
  <si>
    <t xml:space="preserve">P3</t>
  </si>
  <si>
    <t xml:space="preserve">SI critique entreprise</t>
  </si>
  <si>
    <t xml:space="preserve">IRN 55% / Perf 45%</t>
  </si>
  <si>
    <t xml:space="preserve">P4</t>
  </si>
  <si>
    <t xml:space="preserve">Souverain régulé / défense</t>
  </si>
  <si>
    <t xml:space="preserve">IRN 75% / Perf 25%</t>
  </si>
  <si>
    <t xml:space="preserve">Tiers</t>
  </si>
  <si>
    <t xml:space="preserve">Top-of-class, frontier disponible (API ou self-hosted lourd 4-8 GPU)</t>
  </si>
  <si>
    <t xml:space="preserve">Middle-class managé/self-hosted ou suite souveraine non-frontier</t>
  </si>
  <si>
    <t xml:space="preserve">Petit modèle self-hostable à coût maîtrisé (1 GPU)</t>
  </si>
  <si>
    <t xml:space="preserve">Navigation</t>
  </si>
  <si>
    <t xml:space="preserve">01_Configurations</t>
  </si>
  <si>
    <t xml:space="preserve">Liste des 11 offres benchmarkées + tier</t>
  </si>
  <si>
    <t xml:space="preserve">02_IRN_Detail</t>
  </si>
  <si>
    <t xml:space="preserve">16 critères IRN (C01a UE + C01b France), pondération paramétrable</t>
  </si>
  <si>
    <t xml:space="preserve">02b_Variantes_Lecture</t>
  </si>
  <si>
    <t xml:space="preserve">Lecture UE équilibrée / UE pure / France stricte</t>
  </si>
  <si>
    <t xml:space="preserve">03_Performance</t>
  </si>
  <si>
    <t xml:space="preserve">Multi-bench performance + normalisation par leader courant</t>
  </si>
  <si>
    <t xml:space="preserve">04_Exploitation</t>
  </si>
  <si>
    <t xml:space="preserve">Prix listé + TCO self-hosted estimé (axe parallèle)</t>
  </si>
  <si>
    <t xml:space="preserve">05_Profils_Ponderation</t>
  </si>
  <si>
    <t xml:space="preserve">4 profils de poids IRN/Perf</t>
  </si>
  <si>
    <t xml:space="preserve">06_Score_Fusionne</t>
  </si>
  <si>
    <t xml:space="preserve">Score fusionné par profil + classements</t>
  </si>
  <si>
    <t xml:space="preserve">07_Methodologie</t>
  </si>
  <si>
    <t xml:space="preserve">Méthodologie détaillée</t>
  </si>
  <si>
    <t xml:space="preserve">08_Sources</t>
  </si>
  <si>
    <t xml:space="preserve">Sources publiques tracées</t>
  </si>
  <si>
    <t xml:space="preserve">Configurations benchmarkées</t>
  </si>
  <si>
    <t xml:space="preserve">11 configurations couvrant 3 tiers (Frontier / Mid / Entry) et 4 modes de déploiement.</t>
  </si>
  <si>
    <t xml:space="preserve">ID</t>
  </si>
  <si>
    <t xml:space="preserve">Pays maison mère</t>
  </si>
  <si>
    <t xml:space="preserve">Mode de déploiement</t>
  </si>
  <si>
    <t xml:space="preserve">Modèle repère</t>
  </si>
  <si>
    <t xml:space="preserve">C1</t>
  </si>
  <si>
    <t xml:space="preserve">France</t>
  </si>
  <si>
    <t xml:space="preserve">Open-weight self-hosted</t>
  </si>
  <si>
    <t xml:space="preserve">Mistral-Small-3.1-24B</t>
  </si>
  <si>
    <t xml:space="preserve">C2</t>
  </si>
  <si>
    <t xml:space="preserve">API managée régionale</t>
  </si>
  <si>
    <t xml:space="preserve">Mistral Medium 3.1</t>
  </si>
  <si>
    <t xml:space="preserve">C3</t>
  </si>
  <si>
    <t xml:space="preserve">Allemagne</t>
  </si>
  <si>
    <t xml:space="preserve">Suite souveraine on-prem</t>
  </si>
  <si>
    <t xml:space="preserve">Pharia native (instanciation)</t>
  </si>
  <si>
    <t xml:space="preserve">C4</t>
  </si>
  <si>
    <t xml:space="preserve">États-Unis</t>
  </si>
  <si>
    <t xml:space="preserve">Llama-4-Maverick-17B-128E</t>
  </si>
  <si>
    <t xml:space="preserve">C5</t>
  </si>
  <si>
    <t xml:space="preserve">API cloud régional</t>
  </si>
  <si>
    <t xml:space="preserve">Gemini-3.1-Pro</t>
  </si>
  <si>
    <t xml:space="preserve">C6</t>
  </si>
  <si>
    <t xml:space="preserve">API managée résidence UE</t>
  </si>
  <si>
    <t xml:space="preserve">GPT-5.4-high</t>
  </si>
  <si>
    <t xml:space="preserve">C7</t>
  </si>
  <si>
    <t xml:space="preserve">API managée directe</t>
  </si>
  <si>
    <t xml:space="preserve">Claude Opus 4.6 Thinking</t>
  </si>
  <si>
    <t xml:space="preserve">C8</t>
  </si>
  <si>
    <t xml:space="preserve">Chine</t>
  </si>
  <si>
    <t xml:space="preserve">Qwen3.5-Max</t>
  </si>
  <si>
    <t xml:space="preserve">C9</t>
  </si>
  <si>
    <t xml:space="preserve">DeepSeek-V3.2-Thinking</t>
  </si>
  <si>
    <t xml:space="preserve">C10</t>
  </si>
  <si>
    <t xml:space="preserve">Mistral-Large-2-123B</t>
  </si>
  <si>
    <t xml:space="preserve">C11</t>
  </si>
  <si>
    <t xml:space="preserve">Llama-4-Behemoth (projection)</t>
  </si>
  <si>
    <t xml:space="preserve">Notes</t>
  </si>
  <si>
    <t xml:space="preserve">• C3 (Aleph PhariaAI Pharia native) : valeurs de performance estimées, marquées 'Hypothèse' en feuille 03.</t>
  </si>
  <si>
    <t xml:space="preserve">• C10 (Mistral Large 2) et C11 (Llama 4 Behemoth) : valeurs de performance projetées mai 2026, marquées 'Projection' en feuille 03.</t>
  </si>
  <si>
    <t xml:space="preserve">• Les configurations C10 et C11 fournissent une comparaison frontier équitable face aux API US frontier (C5/C6/C7).</t>
  </si>
  <si>
    <t xml:space="preserve">• Tier : Frontier = top-of-class frontier ; Mid = middle-class ou suite souveraine non-frontier ; Entry = petit modèle self-hostable à coût maîtrisé.</t>
  </si>
  <si>
    <t xml:space="preserve">Détail IRN — 15 critères publics (C01 inclut un léger avantage France), scores 1-5</t>
  </si>
  <si>
    <t xml:space="preserve">Pondération paramétrable (cellules bleues, ligne 6). C01 : France=5, autre UE proche=4, US allié=2, Chine=1. Pour durcir la lecture France, augmenter le poids de C01 (et éventuellement C12 ouverture).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</si>
  <si>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</si>
  <si>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</si>
  <si>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</si>
  <si>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</si>
  <si>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</si>
  <si>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</si>
  <si>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</si>
  <si>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</si>
  <si>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</si>
  <si>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C12</t>
  </si>
  <si>
    <t xml:space="preserve">C13</t>
  </si>
  <si>
    <t xml:space="preserve">C14</t>
  </si>
  <si>
    <t xml:space="preserve">C15</t>
  </si>
  <si>
    <t xml:space="preserve">IRN /5 pondéré</t>
  </si>
  <si>
    <t xml:space="preserve">IRN /5 (poids égaux)</t>
  </si>
  <si>
    <t xml:space="preserve">Libellé</t>
  </si>
  <si>
    <t xml:space="preserve">Localisation/nationalité maison mère</t>
  </si>
  <si>
    <t xml:space="preserve">Conformité réglementaire nat./UE</t>
  </si>
  <si>
    <t xml:space="preserve">Maîtrise lois extraterritoriales</t>
  </si>
  <si>
    <t xml:space="preserve">Contrôle régional SOC &amp; journaux</t>
  </si>
  <si>
    <t xml:space="preserve">Localisation données &amp; traitements</t>
  </si>
  <si>
    <t xml:space="preserve">Autonomie d'opération critique</t>
  </si>
  <si>
    <t xml:space="preserve">Continuité face arrêt forcé</t>
  </si>
  <si>
    <t xml:space="preserve">Télécom &amp; connectivité critique</t>
  </si>
  <si>
    <t xml:space="preserve">Dépendance supply chain extra-territo.</t>
  </si>
  <si>
    <t xml:space="preserve">Interopérabilité</t>
  </si>
  <si>
    <t xml:space="preserve">Portabilité des workloads</t>
  </si>
  <si>
    <t xml:space="preserve">Ouverture code &amp; licences</t>
  </si>
  <si>
    <t xml:space="preserve">Transparence architecture</t>
  </si>
  <si>
    <t xml:space="preserve">Certifications sécurité/conformité</t>
  </si>
  <si>
    <t xml:space="preserve">Autonomie patchs &amp; vulnérabilités</t>
  </si>
  <si>
    <t xml:space="preserve">Poids</t>
  </si>
  <si>
    <t xml:space="preserve">(modifiable)</t>
  </si>
  <si>
    <t xml:space="preserve">• Critère C01 unique avec gradation : France=5, autre UE proche=4, US allié=2, Chine=1.</t>
  </si>
  <si>
    <t xml:space="preserve">• Pour durcir la lecture en faveur de la France, augmenter le poids de C01 dans la ligne 6 (par défaut 1.5).</t>
  </si>
  <si>
    <t xml:space="preserve">• Pondérations par défaut : extraterritorialité, autonomie, continuité, ouverture à 1.2-1.5 ; transparence à 0.7.</t>
  </si>
  <si>
    <t xml:space="preserve">• Critères contextuels (poids fournisseur, négo, compétences, climat) volontairement exclus du score public.</t>
  </si>
  <si>
    <t xml:space="preserve">Performance multi-bench — normalisation par leader public courant</t>
  </si>
  <si>
    <t xml:space="preserve">Composite (poids modifiables) : Arena Elo, Coding, MMLU-Pro, AAII. Performance /5 = composite × 5/100.</t>
  </si>
  <si>
    <t xml:space="preserve">Hypothèses (leader courant pour normalisation)</t>
  </si>
  <si>
    <t xml:space="preserve">Leader Arena Elo</t>
  </si>
  <si>
    <t xml:space="preserve">Leader Coding</t>
  </si>
  <si>
    <t xml:space="preserve">Leader MMLU-Pro</t>
  </si>
  <si>
    <t xml:space="preserve">Leader AAII</t>
  </si>
  <si>
    <t xml:space="preserve">Poids Arena</t>
  </si>
  <si>
    <t xml:space="preserve">Poids Coding</t>
  </si>
  <si>
    <t xml:space="preserve">Poids MMLU-Pro</t>
  </si>
  <si>
    <t xml:space="preserve">Poids AAII</t>
  </si>
  <si>
    <t xml:space="preserve">Somme poids =</t>
  </si>
  <si>
    <t xml:space="preserve">Arena Elo</t>
  </si>
  <si>
    <t xml:space="preserve">Coding</t>
  </si>
  <si>
    <t xml:space="preserve">MMLU-Pro</t>
  </si>
  <si>
    <t xml:space="preserve">AAII</t>
  </si>
  <si>
    <t xml:space="preserve">Arena %lead</t>
  </si>
  <si>
    <t xml:space="preserve">Coding %lead</t>
  </si>
  <si>
    <t xml:space="preserve">MMLU %lead</t>
  </si>
  <si>
    <t xml:space="preserve">AAII %lead</t>
  </si>
  <si>
    <t xml:space="preserve">Composite (%)</t>
  </si>
  <si>
    <t xml:space="preserve">Performance /5</t>
  </si>
  <si>
    <t xml:space="preserve">Hypothèse ?</t>
  </si>
  <si>
    <t xml:space="preserve">Public AA / OpenLM</t>
  </si>
  <si>
    <t xml:space="preserve">Estimation Pharia native</t>
  </si>
  <si>
    <t xml:space="preserve">Projection mai 2026</t>
  </si>
  <si>
    <t xml:space="preserve">• Normalisation par leader public courant (référence absolue) — pas min-max sur le panel.</t>
  </si>
  <si>
    <t xml:space="preserve">• Données : Arena via OpenLM/OproAI (avr. 2026), Coding/MMLU-Pro/AAII via Artificial Analysis (avr. 2026).</t>
  </si>
  <si>
    <t xml:space="preserve">• C3 : Pharia native estimée. C10 (Mistral Large 2) et C11 (Llama 4 Behemoth) : valeurs projetées mai 2026.</t>
  </si>
  <si>
    <t xml:space="preserve">• Mistral Large 2 et Llama 4 Behemoth fournissent une comparaison frontier équitable face aux frontiers US managés.</t>
  </si>
  <si>
    <t xml:space="preserve">Exploitation — coût, débit, latence (axe parallèle, non agrégé au score IRN+Perf)</t>
  </si>
  <si>
    <t xml:space="preserve">Pour les self-hosted, coût calculé via hypothèses GPU paramétrables (zone jaune). Pour les managés, prix listé fournisseur.</t>
  </si>
  <si>
    <t xml:space="preserve">Hypothèses TCO self-hosted (cellules bleues, modifiables)</t>
  </si>
  <si>
    <t xml:space="preserve">Coût horaire H100 ($/h, cloud public)</t>
  </si>
  <si>
    <t xml:space="preserve">Surcoût opérationnel (MCO/équipe), x</t>
  </si>
  <si>
    <t xml:space="preserve">Coût horaire A100 ($/h, cloud public)</t>
  </si>
  <si>
    <t xml:space="preserve">Note</t>
  </si>
  <si>
    <t xml:space="preserve">x1.40 = +40% au-dessus du coût GPU brut pour couvrir équipe MLOps, monitoring, scaling, redondance.</t>
  </si>
  <si>
    <t xml:space="preserve">Taux d'utilisation effectif (0-1)</t>
  </si>
  <si>
    <t xml:space="preserve">GPU type</t>
  </si>
  <si>
    <t xml:space="preserve">GPU count</t>
  </si>
  <si>
    <t xml:space="preserve">Latence TTFT (s)</t>
  </si>
  <si>
    <t xml:space="preserve">Coût horaire ($/h)</t>
  </si>
  <si>
    <t xml:space="preserve">Tokens/heure</t>
  </si>
  <si>
    <t xml:space="preserve">$/1M tokens (calc self-h.)</t>
  </si>
  <si>
    <t xml:space="preserve">$/1M tokens (listé)</t>
  </si>
  <si>
    <t xml:space="preserve">$/1M tok retenu</t>
  </si>
  <si>
    <t xml:space="preserve">self_hosted</t>
  </si>
  <si>
    <t xml:space="preserve">H100</t>
  </si>
  <si>
    <t xml:space="preserve">—</t>
  </si>
  <si>
    <t xml:space="preserve">managed</t>
  </si>
  <si>
    <t xml:space="preserve">• L'exploitation est traitée comme axe PARALLÈLE — non additionnée au score IRN+Perf.</t>
  </si>
  <si>
    <t xml:space="preserve">• TCO self-hosted = (nb_GPU × $/h × surcoût op.) ÷ (débit × 3600 × utilisation) × 10⁶. Hypothèses modifiables en zone jaune.</t>
  </si>
  <si>
    <t xml:space="preserve">• Le calcul est volontairement défavorable au self-hosted à faible utilisation : à &gt;80% utilisation et GPU réservés négociés, le coût peut chuter de 30-50%.</t>
  </si>
  <si>
    <t xml:space="preserve">• C10 et C11 (frontier self-hosted) : besoin GPU important (4-8 H100), TCO plus élevé. Mais permet la souveraineté + frontier-class.</t>
  </si>
  <si>
    <t xml:space="preserve">Profils de pondération — choix du curseur Souveraineté ↔ Performance</t>
  </si>
  <si>
    <t xml:space="preserve">Quatre profils types couvrent l'arbitrage selon la criticité du SI cible. Les poids (cellules bleues) sont modifiables.</t>
  </si>
  <si>
    <t xml:space="preserve">ID profil</t>
  </si>
  <si>
    <t xml:space="preserve">Nom du profil</t>
  </si>
  <si>
    <t xml:space="preserve">Poids IRN</t>
  </si>
  <si>
    <t xml:space="preserve">Poids Performance</t>
  </si>
  <si>
    <t xml:space="preserve">Cas d'usage typique</t>
  </si>
  <si>
    <t xml:space="preserve">Curiosité technique, prototypage : la perf brute prime.</t>
  </si>
  <si>
    <t xml:space="preserve">Productivité, contenu, support N1 : équilibre tilté perf.</t>
  </si>
  <si>
    <t xml:space="preserve">Cœur métier régulé, données sensibles : équilibre tilté souveraineté.</t>
  </si>
  <si>
    <t xml:space="preserve">OIV, défense, secret : la souveraineté est non-négociable.</t>
  </si>
  <si>
    <t xml:space="preserve">Vérification poids = 100%</t>
  </si>
  <si>
    <t xml:space="preserve">Score fusionné par profil = w_IRN × IRN_pondéré + w_Perf × Performance</t>
  </si>
  <si>
    <t xml:space="preserve">L'exploitation reste un axe parallèle — voir 04_Exploitation.</t>
  </si>
  <si>
    <t xml:space="preserve">Profils :</t>
  </si>
  <si>
    <t xml:space="preserve">P1 R&amp;D / exploration</t>
  </si>
  <si>
    <t xml:space="preserve">P2 Métier non-critique</t>
  </si>
  <si>
    <t xml:space="preserve">P3 SI critique entreprise</t>
  </si>
  <si>
    <t xml:space="preserve">P4 Souverain régulé / défense</t>
  </si>
  <si>
    <t xml:space="preserve">Poids IRN / Perf</t>
  </si>
  <si>
    <t xml:space="preserve">Classements par profil</t>
  </si>
  <si>
    <t xml:space="preserve">Rang</t>
  </si>
  <si>
    <t xml:space="preserve">Méthodologie de la fusion finale</t>
  </si>
  <si>
    <t xml:space="preserve">Principe directeur</t>
  </si>
  <si>
    <t xml:space="preserve">Note 1-5 sur 15 critères observables publiquement. C01 (localisation/nationalité de la maison mère) intègre un léger avantage France : France=5, autre UE proche=4, US allié=2, Chine=1. Pour durcir la lecture, on peut augmenter le poids de C01 (ligne 6 de 02_IRN_Detail). Pondération par défaut non uniforme : extraterritorialité, autonomie, continuité, ouverture à 1.2-1.5 ; transparence à 0.7-1.0. Les 5 critères contextuels (poids fournisseur, négo, compétences, climat) sont volontairement exclus du score public.</t>
  </si>
  <si>
    <t xml:space="preserve">Bloc 1 — IRN public (souveraineté/résilience)</t>
  </si>
  <si>
    <t xml:space="preserve">Bloc 2 — Performance multi-bench</t>
  </si>
  <si>
    <t xml:space="preserve">Composite de 4 benchmarks : Arena Elo (35%), Coding (35%), MMLU-Pro (20%), AAII (10%). Normalisation par leader public courant et non min-max sur le panel : un modèle entry-level reste à son niveau réel et n'est pas écrasé à 0. Les leaders sont en cellules modifiables pour suivre l'évolution rapide du marché.</t>
  </si>
  <si>
    <t xml:space="preserve">Bloc 3 — Exploitation (axe parallèle)</t>
  </si>
  <si>
    <t xml:space="preserve">Pour les offres managées : prix listé blended fournisseur. Pour les self-hosted : TCO calculé depuis hypothèses publiques explicites — coût horaire GPU (H100 ~$3/h, A100 ~$1.50/h, cloud public), utilisation effective (60% par défaut), surcoût opérationnel x1.40 (équipe MLOps, monitoring, redondance). Le calcul est défavorable au self-hosted à faible utilisation : à &gt;80% utilisation et GPU réservés négociés, le coût peut chuter de 30-50%. Toutes les hypothèses sont en zone jaune modifiable.</t>
  </si>
  <si>
    <t xml:space="preserve">Bloc 4 — Profils de pondération</t>
  </si>
  <si>
    <t xml:space="preserve">Quatre profils : P1 R&amp;D (20/80), P2 Métier non-critique (35/65), P3 SI critique entreprise (55/45), P4 Souverain régulé/défense (75/25). Score fusionné = w_IRN × IRN_pondéré + w_Perf × Performance, sur l'échelle /5. Les poids sont en cellules modifiables : un lecteur peut tester ses propres pondérations.</t>
  </si>
  <si>
    <t xml:space="preserve">Tiers — comparaison équitable</t>
  </si>
  <si>
    <t xml:space="preserve">Pour éviter de comparer un Mistral Small 24B à un Claude Opus frontier, le panel est segmenté en 3 tiers : Frontier (top-of-class disponible, qu'il soit API ou self-hosted lourd 4-8 GPU), Mid (managé ou suite souveraine non-frontier), Entry (petit modèle self-hostable, 1 GPU). C10 (Mistral Large 2 self-hosted) et C11 (Llama 4 Behemoth self-hosted) sont les pendants frontier des Mistral/Llama, à comparer aux frontiers US managés (C5/C6/C7).</t>
  </si>
  <si>
    <t xml:space="preserve">Cas particuliers et hypothèses</t>
  </si>
  <si>
    <t xml:space="preserve">C3 (Aleph PhariaAI Pharia native) : performance estimée car Aleph publie peu d'évaluations homogènes. C10 (Mistral Large 2) et C11 (Llama 4 Behemoth) : valeurs de performance projetées mai 2026, marquées 'Projection' en feuille 03. Ces hypothèses sont signalées explicitement dans la colonne 'Hypothèse ?' de 03_Performance.</t>
  </si>
  <si>
    <t xml:space="preserve">Limites assumées</t>
  </si>
  <si>
    <t xml:space="preserve">(1) Tous les bench publics sont des proxies imparfaits ; l'évaluation finale doit être contextualisée par un POC sur le cas d'usage réel. (2) Le marché bouge vite : ce benchmark est valide mai 2026 et doit être rafraîchi tous les 3-6 mois. (3) L'IRN public ne capte pas certains critères contextuels (compétences internes, négociation, exposition climatique) — volontairement. (4) Le TCO self-hosted est sensible aux hypothèses : viser un encadrement plutôt qu'un point unique.</t>
  </si>
  <si>
    <t xml:space="preserve">Bloc</t>
  </si>
  <si>
    <t xml:space="preserve">Auteur / organisme</t>
  </si>
  <si>
    <t xml:space="preserve">Date / fraîcheur</t>
  </si>
  <si>
    <t xml:space="preserve">URL</t>
  </si>
  <si>
    <t xml:space="preserve">Performance</t>
  </si>
  <si>
    <t xml:space="preserve">OpenLM Chatbot Arena</t>
  </si>
  <si>
    <t xml:space="preserve">avr. 2026</t>
  </si>
  <si>
    <t xml:space="preserve">https://openlm.ai/chatbot-arena/</t>
  </si>
  <si>
    <t xml:space="preserve">Artificial Analysis — leaderboard</t>
  </si>
  <si>
    <t xml:space="preserve">https://artificialanalysis.ai/leaderboards/models</t>
  </si>
  <si>
    <t xml:space="preserve">Artificial Analysis — methodology</t>
  </si>
  <si>
    <t xml:space="preserve">consulté avr. 2026</t>
  </si>
  <si>
    <t xml:space="preserve">https://artificialanalysis.ai/methodology</t>
  </si>
  <si>
    <t xml:space="preserve">MMLU-Pro paper</t>
  </si>
  <si>
    <t xml:space="preserve">juin 2024</t>
  </si>
  <si>
    <t xml:space="preserve">https://arxiv.org/abs/2406.01574</t>
  </si>
  <si>
    <t xml:space="preserve">IRN OpenAI</t>
  </si>
  <si>
    <t xml:space="preserve">OpenAI Data Residency EU</t>
  </si>
  <si>
    <t xml:space="preserve">maj. janv. 2026</t>
  </si>
  <si>
    <t xml:space="preserve">https://openai.com/index/introducing-data-residency-in-europe/</t>
  </si>
  <si>
    <t xml:space="preserve">OpenAI Help — EU Residency</t>
  </si>
  <si>
    <t xml:space="preserve">récent</t>
  </si>
  <si>
    <t xml:space="preserve">https://help.openai.com/en/articles/9903489-eu-data-residency</t>
  </si>
  <si>
    <t xml:space="preserve">IRN Anthropic</t>
  </si>
  <si>
    <t xml:space="preserve">Anthropic data residency</t>
  </si>
  <si>
    <t xml:space="preserve">https://platform.claude.com/docs/en/build-with-claude/data-residency</t>
  </si>
  <si>
    <t xml:space="preserve">Anthropic API retention</t>
  </si>
  <si>
    <t xml:space="preserve">https://platform.claude.com/docs/en/build-with-claude/api-and-data-retention</t>
  </si>
  <si>
    <t xml:space="preserve">Anthropic deployment options</t>
  </si>
  <si>
    <t xml:space="preserve">https://platform.claude.com/docs/en/api/overview.md</t>
  </si>
  <si>
    <t xml:space="preserve">IRN Google</t>
  </si>
  <si>
    <t xml:space="preserve">Vertex AI data residency</t>
  </si>
  <si>
    <t xml:space="preserve">docs 2026</t>
  </si>
  <si>
    <t xml:space="preserve">https://docs.cloud.google.com/vertex-ai/generative-ai/docs/learn/data-residency</t>
  </si>
  <si>
    <t xml:space="preserve">Vertex AI locations</t>
  </si>
  <si>
    <t xml:space="preserve">https://docs.cloud.google.com/vertex-ai/generative-ai/docs/learn/locations</t>
  </si>
  <si>
    <t xml:space="preserve">IRN Mistral</t>
  </si>
  <si>
    <t xml:space="preserve">Mistral legal notice</t>
  </si>
  <si>
    <t xml:space="preserve">https://mistral.ai/fr/legal</t>
  </si>
  <si>
    <t xml:space="preserve">Mistral self-deployment</t>
  </si>
  <si>
    <t xml:space="preserve">https://docs.mistral.ai/deployment/self-deployment</t>
  </si>
  <si>
    <t xml:space="preserve">Mistral data location</t>
  </si>
  <si>
    <t xml:space="preserve">https://help.mistral.ai/en/articles/347629-where-do-you-store-my-data-or-my-organization-s-data</t>
  </si>
  <si>
    <t xml:space="preserve">Mistral certifications</t>
  </si>
  <si>
    <t xml:space="preserve">https://help.mistral.ai/en/articles/347638-do-you-have-soc2-or-iso27001-certification</t>
  </si>
  <si>
    <t xml:space="preserve">Mistral Large 2 GitHub (open-weight, MRL)</t>
  </si>
  <si>
    <t xml:space="preserve">https://huggingface.co/mistralai/Mistral-Large-Instruct-2407</t>
  </si>
  <si>
    <t xml:space="preserve">IRN Alibaba</t>
  </si>
  <si>
    <t xml:space="preserve">Model Studio Frankfurt</t>
  </si>
  <si>
    <t xml:space="preserve">27 mars 2026</t>
  </si>
  <si>
    <t xml:space="preserve">https://www.alibabacloud.com/en/notice/model_studio_frankfurt_region_now_available_700</t>
  </si>
  <si>
    <t xml:space="preserve">Alibaba supported models</t>
  </si>
  <si>
    <t xml:space="preserve">1 avr. 2026</t>
  </si>
  <si>
    <t xml:space="preserve">https://www.alibabacloud.com/help/en/model-studio/models</t>
  </si>
  <si>
    <t xml:space="preserve">IRN DeepSeek</t>
  </si>
  <si>
    <t xml:space="preserve">DeepSeek API docs</t>
  </si>
  <si>
    <t xml:space="preserve">https://api-docs.deepseek.com/</t>
  </si>
  <si>
    <t xml:space="preserve">DeepSeek privacy policy</t>
  </si>
  <si>
    <t xml:space="preserve">fév. 2026</t>
  </si>
  <si>
    <t xml:space="preserve">https://cdn.deepseek.com/policies/en-US/deepseek-privacy-policy.html</t>
  </si>
  <si>
    <t xml:space="preserve">IRN Meta</t>
  </si>
  <si>
    <t xml:space="preserve">Meta Llama GitHub</t>
  </si>
  <si>
    <t xml:space="preserve">https://github.com/meta-llama/llama-models</t>
  </si>
  <si>
    <t xml:space="preserve">Llama 4 community license</t>
  </si>
  <si>
    <t xml:space="preserve">https://github.com/meta-llama/llama-models/blob/main/models/llama4/LICENSE</t>
  </si>
  <si>
    <t xml:space="preserve">Llama 4 Behemoth blog (annonce)</t>
  </si>
  <si>
    <t xml:space="preserve">2025</t>
  </si>
  <si>
    <t xml:space="preserve">https://ai.meta.com/blog/llama-4-multimodal-intelligence/</t>
  </si>
  <si>
    <t xml:space="preserve">IRN Aleph Alpha</t>
  </si>
  <si>
    <t xml:space="preserve">PhariaAI home</t>
  </si>
  <si>
    <t xml:space="preserve">https://docs.aleph-alpha.com/phariaai-home/latest/index.html</t>
  </si>
  <si>
    <t xml:space="preserve">PhariaAI install</t>
  </si>
  <si>
    <t xml:space="preserve">https://docs.aleph-alpha.com/phariaai-install-config-guide/latest/index.html</t>
  </si>
  <si>
    <t xml:space="preserve">Coût GPU H100</t>
  </si>
  <si>
    <t xml:space="preserve">RunPod public pricing</t>
  </si>
  <si>
    <t xml:space="preserve">https://www.runpod.io/pricing</t>
  </si>
  <si>
    <t xml:space="preserve">CoreWeave public pricing</t>
  </si>
  <si>
    <t xml:space="preserve">https://www.coreweave.com/pricing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</si>
</sst>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\$0.00"/>
    <numFmt numFmtId="167" formatCode="0.0"/>
    <numFmt numFmtId="168" formatCode="0"/>
    <numFmt numFmtId="169" formatCode="#,##0"/>
    <numFmt numFmtId="170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9"/>
      <color rgb="FF0070C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B084"/>
        <bgColor rgb="FFFFD9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084"/>
      </patternFill>
    </fill>
    <fill>
      <patternFill patternType="solid">
        <fgColor rgb="FFC6E0B4"/>
        <bgColor rgb="FFE2EFDA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CE4D6"/>
      <rgbColor rgb="FF99CCFF"/>
      <rgbColor rgb="FFF4B084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openlm.ai/chatbot-arena/" TargetMode="External"/><Relationship Id="rId2" Type="http://schemas.openxmlformats.org/officeDocument/2006/relationships/hyperlink" Target="https://artificialanalysis.ai/leaderboards/models" TargetMode="External"/><Relationship Id="rId3" Type="http://schemas.openxmlformats.org/officeDocument/2006/relationships/hyperlink" Target="https://artificialanalysis.ai/methodology" TargetMode="External"/><Relationship Id="rId4" Type="http://schemas.openxmlformats.org/officeDocument/2006/relationships/hyperlink" Target="https://arxiv.org/abs/2406.01574" TargetMode="External"/><Relationship Id="rId5" Type="http://schemas.openxmlformats.org/officeDocument/2006/relationships/hyperlink" Target="https://openai.com/index/introducing-data-residency-in-europe/" TargetMode="External"/><Relationship Id="rId6" Type="http://schemas.openxmlformats.org/officeDocument/2006/relationships/hyperlink" Target="https://help.openai.com/en/articles/9903489-eu-data-residency" TargetMode="External"/><Relationship Id="rId7" Type="http://schemas.openxmlformats.org/officeDocument/2006/relationships/hyperlink" Target="https://platform.claude.com/docs/en/build-with-claude/data-residency" TargetMode="External"/><Relationship Id="rId8" Type="http://schemas.openxmlformats.org/officeDocument/2006/relationships/hyperlink" Target="https://platform.claude.com/docs/en/build-with-claude/api-and-data-retention" TargetMode="External"/><Relationship Id="rId9" Type="http://schemas.openxmlformats.org/officeDocument/2006/relationships/hyperlink" Target="https://platform.claude.com/docs/en/api/overview.md" TargetMode="External"/><Relationship Id="rId10" Type="http://schemas.openxmlformats.org/officeDocument/2006/relationships/hyperlink" Target="https://docs.cloud.google.com/vertex-ai/generative-ai/docs/learn/data-residency" TargetMode="External"/><Relationship Id="rId11" Type="http://schemas.openxmlformats.org/officeDocument/2006/relationships/hyperlink" Target="https://docs.cloud.google.com/vertex-ai/generative-ai/docs/learn/locations" TargetMode="External"/><Relationship Id="rId12" Type="http://schemas.openxmlformats.org/officeDocument/2006/relationships/hyperlink" Target="https://mistral.ai/fr/legal" TargetMode="External"/><Relationship Id="rId13" Type="http://schemas.openxmlformats.org/officeDocument/2006/relationships/hyperlink" Target="https://docs.mistral.ai/deployment/self-deployment" TargetMode="External"/><Relationship Id="rId14" Type="http://schemas.openxmlformats.org/officeDocument/2006/relationships/hyperlink" Target="https://help.mistral.ai/en/articles/347629-where-do-you-store-my-data-or-my-organization-s-data" TargetMode="External"/><Relationship Id="rId15" Type="http://schemas.openxmlformats.org/officeDocument/2006/relationships/hyperlink" Target="https://help.mistral.ai/en/articles/347638-do-you-have-soc2-or-iso27001-certification" TargetMode="External"/><Relationship Id="rId16" Type="http://schemas.openxmlformats.org/officeDocument/2006/relationships/hyperlink" Target="https://huggingface.co/mistralai/Mistral-Large-Instruct-2407" TargetMode="External"/><Relationship Id="rId17" Type="http://schemas.openxmlformats.org/officeDocument/2006/relationships/hyperlink" Target="https://www.alibabacloud.com/en/notice/model_studio_frankfurt_region_now_available_700" TargetMode="External"/><Relationship Id="rId18" Type="http://schemas.openxmlformats.org/officeDocument/2006/relationships/hyperlink" Target="https://www.alibabacloud.com/help/en/model-studio/models" TargetMode="External"/><Relationship Id="rId19" Type="http://schemas.openxmlformats.org/officeDocument/2006/relationships/hyperlink" Target="https://api-docs.deepseek.com/" TargetMode="External"/><Relationship Id="rId20" Type="http://schemas.openxmlformats.org/officeDocument/2006/relationships/hyperlink" Target="https://cdn.deepseek.com/policies/en-US/deepseek-privacy-policy.html" TargetMode="External"/><Relationship Id="rId21" Type="http://schemas.openxmlformats.org/officeDocument/2006/relationships/hyperlink" Target="https://github.com/meta-llama/llama-models" TargetMode="External"/><Relationship Id="rId22" Type="http://schemas.openxmlformats.org/officeDocument/2006/relationships/hyperlink" Target="https://github.com/meta-llama/llama-models/blob/main/models/llama4/LICENSE" TargetMode="External"/><Relationship Id="rId23" Type="http://schemas.openxmlformats.org/officeDocument/2006/relationships/hyperlink" Target="https://ai.meta.com/blog/llama-4-multimodal-intelligence/" TargetMode="External"/><Relationship Id="rId24" Type="http://schemas.openxmlformats.org/officeDocument/2006/relationships/hyperlink" Target="https://docs.aleph-alpha.com/phariaai-home/latest/index.html" TargetMode="External"/><Relationship Id="rId25" Type="http://schemas.openxmlformats.org/officeDocument/2006/relationships/hyperlink" Target="https://docs.aleph-alpha.com/phariaai-install-config-guide/latest/index.html" TargetMode="External"/><Relationship Id="rId26" Type="http://schemas.openxmlformats.org/officeDocument/2006/relationships/hyperlink" Target="https://www.runpod.io/pricing" TargetMode="External"/><Relationship Id="rId27" Type="http://schemas.openxmlformats.org/officeDocument/2006/relationships/hyperlink" Target="https://www.coreweave.com/pric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22"/>
    <col collapsed="false" customWidth="true" hidden="false" outlineLevel="0" max="6" min="5" style="1" width="9"/>
    <col collapsed="false" customWidth="true" hidden="false" outlineLevel="0" max="10" min="7" style="1" width="12"/>
    <col collapsed="false" customWidth="true" hidden="false" outlineLevel="0" max="11" min="11" style="1" width="11"/>
    <col collapsed="false" customWidth="true" hidden="false" outlineLevel="0" max="12" min="12" style="1" width="12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15" hidden="false" customHeight="true" outlineLevel="0" collapsed="false">
      <c r="A4" s="4" t="s">
        <v>2</v>
      </c>
    </row>
    <row r="5" customFormat="false" ht="21.7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21.7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1.7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9" customFormat="false" ht="30" hidden="false" customHeight="true" outlineLevel="0" collapsed="false">
      <c r="A9" s="6" t="s">
        <v>4</v>
      </c>
      <c r="B9" s="6" t="s">
        <v>5</v>
      </c>
      <c r="C9" s="6" t="s">
        <v>6</v>
      </c>
      <c r="D9" s="6" t="s">
        <v>7</v>
      </c>
      <c r="E9" s="6" t="s">
        <v>8</v>
      </c>
      <c r="F9" s="6" t="s">
        <v>9</v>
      </c>
      <c r="G9" s="6" t="s">
        <v>10</v>
      </c>
      <c r="H9" s="6" t="s">
        <v>11</v>
      </c>
      <c r="I9" s="6" t="s">
        <v>12</v>
      </c>
      <c r="J9" s="6" t="s">
        <v>13</v>
      </c>
      <c r="K9" s="6" t="s">
        <v>14</v>
      </c>
      <c r="L9" s="6" t="s">
        <v>15</v>
      </c>
    </row>
    <row r="10" customFormat="false" ht="15" hidden="false" customHeight="true" outlineLevel="0" collapsed="false">
      <c r="A10" s="7" t="s">
        <v>16</v>
      </c>
      <c r="B10" s="8" t="s">
        <v>17</v>
      </c>
      <c r="C10" s="9" t="str">
        <f aca="false">'01_Configurations'!C5</f>
        <v>France</v>
      </c>
      <c r="D10" s="9" t="str">
        <f aca="false">'01_Configurations'!E5</f>
        <v>Open-weight self-hosted</v>
      </c>
      <c r="E10" s="10" t="n">
        <f aca="false">'02_IRN_Detail'!R7</f>
        <v>4.77011494252874</v>
      </c>
      <c r="F10" s="10" t="n">
        <f aca="false">'03_Performance'!M9</f>
        <v>3.81132254059433</v>
      </c>
      <c r="G10" s="11" t="n">
        <f aca="false">'06_Score_Fusionne'!F8</f>
        <v>4.00308102098121</v>
      </c>
      <c r="H10" s="12" t="n">
        <f aca="false">'06_Score_Fusionne'!G8</f>
        <v>4.14689988127137</v>
      </c>
      <c r="I10" s="13" t="n">
        <f aca="false">'06_Score_Fusionne'!H8</f>
        <v>4.33865836165825</v>
      </c>
      <c r="J10" s="14" t="n">
        <f aca="false">'06_Score_Fusionne'!I8</f>
        <v>4.53041684204513</v>
      </c>
      <c r="K10" s="15" t="n">
        <f aca="false">'04_Exploitation'!M10</f>
        <v>13.3638793432608</v>
      </c>
      <c r="L10" s="16" t="n">
        <f aca="false">'04_Exploitation'!G10</f>
        <v>145.5</v>
      </c>
    </row>
    <row r="11" customFormat="false" ht="15" hidden="false" customHeight="true" outlineLevel="0" collapsed="false">
      <c r="A11" s="7" t="s">
        <v>18</v>
      </c>
      <c r="B11" s="17" t="s">
        <v>19</v>
      </c>
      <c r="C11" s="9" t="str">
        <f aca="false">'01_Configurations'!C6</f>
        <v>France</v>
      </c>
      <c r="D11" s="9" t="str">
        <f aca="false">'01_Configurations'!E6</f>
        <v>API managée régionale</v>
      </c>
      <c r="E11" s="10" t="n">
        <f aca="false">'02_IRN_Detail'!R8</f>
        <v>3.41379310344828</v>
      </c>
      <c r="F11" s="10" t="n">
        <f aca="false">'03_Performance'!M10</f>
        <v>4.32677416660257</v>
      </c>
      <c r="G11" s="11" t="n">
        <f aca="false">'06_Score_Fusionne'!F9</f>
        <v>4.14417795397171</v>
      </c>
      <c r="H11" s="12" t="n">
        <f aca="false">'06_Score_Fusionne'!G9</f>
        <v>4.00723079449857</v>
      </c>
      <c r="I11" s="13" t="n">
        <f aca="false">'06_Score_Fusionne'!H9</f>
        <v>3.82463458186771</v>
      </c>
      <c r="J11" s="14" t="n">
        <f aca="false">'06_Score_Fusionne'!I9</f>
        <v>3.64203836923685</v>
      </c>
      <c r="K11" s="15" t="n">
        <f aca="false">'04_Exploitation'!M11</f>
        <v>0.8</v>
      </c>
      <c r="L11" s="16" t="n">
        <f aca="false">'04_Exploitation'!G11</f>
        <v>108.7</v>
      </c>
    </row>
    <row r="12" customFormat="false" ht="23.25" hidden="false" customHeight="true" outlineLevel="0" collapsed="false">
      <c r="A12" s="7" t="s">
        <v>20</v>
      </c>
      <c r="B12" s="17" t="s">
        <v>19</v>
      </c>
      <c r="C12" s="9" t="str">
        <f aca="false">'01_Configurations'!C7</f>
        <v>Allemagne</v>
      </c>
      <c r="D12" s="9" t="str">
        <f aca="false">'01_Configurations'!E7</f>
        <v>Suite souveraine on-prem</v>
      </c>
      <c r="E12" s="10" t="n">
        <f aca="false">'02_IRN_Detail'!R9</f>
        <v>4.44827586206897</v>
      </c>
      <c r="F12" s="10" t="n">
        <f aca="false">'03_Performance'!M11</f>
        <v>4.24515170879593</v>
      </c>
      <c r="G12" s="11" t="n">
        <f aca="false">'06_Score_Fusionne'!F10</f>
        <v>4.28577653945054</v>
      </c>
      <c r="H12" s="12" t="n">
        <f aca="false">'06_Score_Fusionne'!G10</f>
        <v>4.31624516244149</v>
      </c>
      <c r="I12" s="13" t="n">
        <f aca="false">'06_Score_Fusionne'!H10</f>
        <v>4.3568699930961</v>
      </c>
      <c r="J12" s="14" t="n">
        <f aca="false">'06_Score_Fusionne'!I10</f>
        <v>4.39749482375071</v>
      </c>
      <c r="K12" s="15" t="n">
        <f aca="false">'04_Exploitation'!M12</f>
        <v>43.2098765432099</v>
      </c>
      <c r="L12" s="16" t="n">
        <f aca="false">'04_Exploitation'!G12</f>
        <v>90</v>
      </c>
    </row>
    <row r="13" customFormat="false" ht="15" hidden="false" customHeight="true" outlineLevel="0" collapsed="false">
      <c r="A13" s="7" t="s">
        <v>21</v>
      </c>
      <c r="B13" s="17" t="s">
        <v>19</v>
      </c>
      <c r="C13" s="9" t="str">
        <f aca="false">'01_Configurations'!C8</f>
        <v>États-Unis</v>
      </c>
      <c r="D13" s="9" t="str">
        <f aca="false">'01_Configurations'!E8</f>
        <v>Open-weight self-hosted</v>
      </c>
      <c r="E13" s="10" t="n">
        <f aca="false">'02_IRN_Detail'!R10</f>
        <v>3.68965517241379</v>
      </c>
      <c r="F13" s="10" t="n">
        <f aca="false">'03_Performance'!M12</f>
        <v>4.140578607538</v>
      </c>
      <c r="G13" s="11" t="n">
        <f aca="false">'06_Score_Fusionne'!F11</f>
        <v>4.05039392051316</v>
      </c>
      <c r="H13" s="12" t="n">
        <f aca="false">'06_Score_Fusionne'!G11</f>
        <v>3.98275540524453</v>
      </c>
      <c r="I13" s="13" t="n">
        <f aca="false">'06_Score_Fusionne'!H11</f>
        <v>3.89257071821969</v>
      </c>
      <c r="J13" s="14" t="n">
        <f aca="false">'06_Score_Fusionne'!I11</f>
        <v>3.80238603119485</v>
      </c>
      <c r="K13" s="15" t="n">
        <f aca="false">'04_Exploitation'!M13</f>
        <v>68.8298918387414</v>
      </c>
      <c r="L13" s="16" t="n">
        <f aca="false">'04_Exploitation'!G13</f>
        <v>113</v>
      </c>
    </row>
    <row r="14" customFormat="false" ht="15" hidden="false" customHeight="true" outlineLevel="0" collapsed="false">
      <c r="A14" s="7" t="s">
        <v>22</v>
      </c>
      <c r="B14" s="18" t="s">
        <v>23</v>
      </c>
      <c r="C14" s="9" t="str">
        <f aca="false">'01_Configurations'!C9</f>
        <v>États-Unis</v>
      </c>
      <c r="D14" s="9" t="str">
        <f aca="false">'01_Configurations'!E9</f>
        <v>API cloud régional</v>
      </c>
      <c r="E14" s="10" t="n">
        <f aca="false">'02_IRN_Detail'!R11</f>
        <v>2.70114942528736</v>
      </c>
      <c r="F14" s="10" t="n">
        <f aca="false">'03_Performance'!M13</f>
        <v>4.98414239482201</v>
      </c>
      <c r="G14" s="11" t="n">
        <f aca="false">'06_Score_Fusionne'!F12</f>
        <v>4.52754380091508</v>
      </c>
      <c r="H14" s="12" t="n">
        <f aca="false">'06_Score_Fusionne'!G12</f>
        <v>4.18509485548488</v>
      </c>
      <c r="I14" s="13" t="n">
        <f aca="false">'06_Score_Fusionne'!H12</f>
        <v>3.72849626157795</v>
      </c>
      <c r="J14" s="14" t="n">
        <f aca="false">'06_Score_Fusionne'!I12</f>
        <v>3.27189766767102</v>
      </c>
      <c r="K14" s="15" t="n">
        <f aca="false">'04_Exploitation'!M14</f>
        <v>4.5</v>
      </c>
      <c r="L14" s="16" t="n">
        <f aca="false">'04_Exploitation'!G14</f>
        <v>116</v>
      </c>
    </row>
    <row r="15" customFormat="false" ht="23.25" hidden="false" customHeight="true" outlineLevel="0" collapsed="false">
      <c r="A15" s="7" t="s">
        <v>24</v>
      </c>
      <c r="B15" s="18" t="s">
        <v>23</v>
      </c>
      <c r="C15" s="9" t="str">
        <f aca="false">'01_Configurations'!C10</f>
        <v>États-Unis</v>
      </c>
      <c r="D15" s="9" t="str">
        <f aca="false">'01_Configurations'!E10</f>
        <v>API managée résidence UE</v>
      </c>
      <c r="E15" s="10" t="n">
        <f aca="false">'02_IRN_Detail'!R12</f>
        <v>2.05172413793103</v>
      </c>
      <c r="F15" s="10" t="n">
        <f aca="false">'03_Performance'!M14</f>
        <v>4.93323392085647</v>
      </c>
      <c r="G15" s="11" t="n">
        <f aca="false">'06_Score_Fusionne'!F13</f>
        <v>4.35693196427138</v>
      </c>
      <c r="H15" s="12" t="n">
        <f aca="false">'06_Score_Fusionne'!G13</f>
        <v>3.92470549683257</v>
      </c>
      <c r="I15" s="13" t="n">
        <f aca="false">'06_Score_Fusionne'!H13</f>
        <v>3.34840354024748</v>
      </c>
      <c r="J15" s="14" t="n">
        <f aca="false">'06_Score_Fusionne'!I13</f>
        <v>2.77210158366239</v>
      </c>
      <c r="K15" s="15" t="n">
        <f aca="false">'04_Exploitation'!M15</f>
        <v>5.63</v>
      </c>
      <c r="L15" s="16" t="n">
        <f aca="false">'04_Exploitation'!G15</f>
        <v>84</v>
      </c>
    </row>
    <row r="16" customFormat="false" ht="15" hidden="false" customHeight="true" outlineLevel="0" collapsed="false">
      <c r="A16" s="7" t="s">
        <v>25</v>
      </c>
      <c r="B16" s="18" t="s">
        <v>23</v>
      </c>
      <c r="C16" s="9" t="str">
        <f aca="false">'01_Configurations'!C11</f>
        <v>États-Unis</v>
      </c>
      <c r="D16" s="9" t="str">
        <f aca="false">'01_Configurations'!E11</f>
        <v>API managée directe</v>
      </c>
      <c r="E16" s="10" t="n">
        <f aca="false">'02_IRN_Detail'!R13</f>
        <v>1.98275862068966</v>
      </c>
      <c r="F16" s="10" t="n">
        <f aca="false">'03_Performance'!M15</f>
        <v>4.96365186221367</v>
      </c>
      <c r="G16" s="11" t="n">
        <f aca="false">'06_Score_Fusionne'!F14</f>
        <v>4.36747321390887</v>
      </c>
      <c r="H16" s="12" t="n">
        <f aca="false">'06_Score_Fusionne'!G14</f>
        <v>3.92033922768027</v>
      </c>
      <c r="I16" s="13" t="n">
        <f aca="false">'06_Score_Fusionne'!H14</f>
        <v>3.32416057937546</v>
      </c>
      <c r="J16" s="14" t="n">
        <f aca="false">'06_Score_Fusionne'!I14</f>
        <v>2.72798193107066</v>
      </c>
      <c r="K16" s="15" t="n">
        <f aca="false">'04_Exploitation'!M16</f>
        <v>10</v>
      </c>
      <c r="L16" s="16" t="n">
        <f aca="false">'04_Exploitation'!G16</f>
        <v>49</v>
      </c>
    </row>
    <row r="17" customFormat="false" ht="23.25" hidden="false" customHeight="true" outlineLevel="0" collapsed="false">
      <c r="A17" s="7" t="s">
        <v>26</v>
      </c>
      <c r="B17" s="18" t="s">
        <v>23</v>
      </c>
      <c r="C17" s="9" t="str">
        <f aca="false">'01_Configurations'!C12</f>
        <v>Chine</v>
      </c>
      <c r="D17" s="9" t="str">
        <f aca="false">'01_Configurations'!E12</f>
        <v>API cloud régional</v>
      </c>
      <c r="E17" s="10" t="n">
        <f aca="false">'02_IRN_Detail'!R14</f>
        <v>2.6551724137931</v>
      </c>
      <c r="F17" s="10" t="n">
        <f aca="false">'03_Performance'!M16</f>
        <v>4.82111296703993</v>
      </c>
      <c r="G17" s="11" t="n">
        <f aca="false">'06_Score_Fusionne'!F15</f>
        <v>4.38792485639057</v>
      </c>
      <c r="H17" s="12" t="n">
        <f aca="false">'06_Score_Fusionne'!G15</f>
        <v>4.06303377340354</v>
      </c>
      <c r="I17" s="13" t="n">
        <f aca="false">'06_Score_Fusionne'!H15</f>
        <v>3.62984566275418</v>
      </c>
      <c r="J17" s="14" t="n">
        <f aca="false">'06_Score_Fusionne'!I15</f>
        <v>3.19665755210481</v>
      </c>
      <c r="K17" s="15" t="n">
        <f aca="false">'04_Exploitation'!M17</f>
        <v>1.13</v>
      </c>
      <c r="L17" s="16" t="n">
        <f aca="false">'04_Exploitation'!G17</f>
        <v>50</v>
      </c>
    </row>
    <row r="18" customFormat="false" ht="15" hidden="false" customHeight="true" outlineLevel="0" collapsed="false">
      <c r="A18" s="7" t="s">
        <v>27</v>
      </c>
      <c r="B18" s="18" t="s">
        <v>23</v>
      </c>
      <c r="C18" s="9" t="str">
        <f aca="false">'01_Configurations'!C13</f>
        <v>Chine</v>
      </c>
      <c r="D18" s="9" t="str">
        <f aca="false">'01_Configurations'!E13</f>
        <v>API managée directe</v>
      </c>
      <c r="E18" s="10" t="n">
        <f aca="false">'02_IRN_Detail'!R15</f>
        <v>1.64367816091954</v>
      </c>
      <c r="F18" s="10" t="n">
        <f aca="false">'03_Performance'!M17</f>
        <v>4.66375423465832</v>
      </c>
      <c r="G18" s="11" t="n">
        <f aca="false">'06_Score_Fusionne'!F16</f>
        <v>4.05973901991057</v>
      </c>
      <c r="H18" s="12" t="n">
        <f aca="false">'06_Score_Fusionne'!G16</f>
        <v>3.60672760884975</v>
      </c>
      <c r="I18" s="13" t="n">
        <f aca="false">'06_Score_Fusionne'!H16</f>
        <v>3.00271239410199</v>
      </c>
      <c r="J18" s="14" t="n">
        <f aca="false">'06_Score_Fusionne'!I16</f>
        <v>2.39869717935424</v>
      </c>
      <c r="K18" s="15" t="n">
        <f aca="false">'04_Exploitation'!M18</f>
        <v>0.32</v>
      </c>
      <c r="L18" s="16" t="n">
        <f aca="false">'04_Exploitation'!G18</f>
        <v>49</v>
      </c>
    </row>
    <row r="19" customFormat="false" ht="15" hidden="false" customHeight="true" outlineLevel="0" collapsed="false">
      <c r="A19" s="7" t="s">
        <v>28</v>
      </c>
      <c r="B19" s="18" t="s">
        <v>23</v>
      </c>
      <c r="C19" s="9" t="str">
        <f aca="false">'01_Configurations'!C14</f>
        <v>France</v>
      </c>
      <c r="D19" s="9" t="str">
        <f aca="false">'01_Configurations'!E14</f>
        <v>Open-weight self-hosted</v>
      </c>
      <c r="E19" s="10" t="n">
        <f aca="false">'02_IRN_Detail'!R16</f>
        <v>4.63793103448276</v>
      </c>
      <c r="F19" s="10" t="n">
        <f aca="false">'03_Performance'!M18</f>
        <v>4.55297469580128</v>
      </c>
      <c r="G19" s="11" t="n">
        <f aca="false">'06_Score_Fusionne'!F17</f>
        <v>4.56996596353758</v>
      </c>
      <c r="H19" s="12" t="n">
        <f aca="false">'06_Score_Fusionne'!G17</f>
        <v>4.5827094143398</v>
      </c>
      <c r="I19" s="13" t="n">
        <f aca="false">'06_Score_Fusionne'!H17</f>
        <v>4.5997006820761</v>
      </c>
      <c r="J19" s="14" t="n">
        <f aca="false">'06_Score_Fusionne'!I17</f>
        <v>4.61669194981239</v>
      </c>
      <c r="K19" s="15" t="n">
        <f aca="false">'04_Exploitation'!M19</f>
        <v>97.2222222222222</v>
      </c>
      <c r="L19" s="16" t="n">
        <f aca="false">'04_Exploitation'!G19</f>
        <v>80</v>
      </c>
    </row>
    <row r="20" customFormat="false" ht="15" hidden="false" customHeight="true" outlineLevel="0" collapsed="false">
      <c r="A20" s="7" t="s">
        <v>29</v>
      </c>
      <c r="B20" s="18" t="s">
        <v>23</v>
      </c>
      <c r="C20" s="9" t="str">
        <f aca="false">'01_Configurations'!C15</f>
        <v>États-Unis</v>
      </c>
      <c r="D20" s="9" t="str">
        <f aca="false">'01_Configurations'!E15</f>
        <v>Open-weight self-hosted</v>
      </c>
      <c r="E20" s="10" t="n">
        <f aca="false">'02_IRN_Detail'!R17</f>
        <v>3.63218390804598</v>
      </c>
      <c r="F20" s="10" t="n">
        <f aca="false">'03_Performance'!M19</f>
        <v>4.84185521117346</v>
      </c>
      <c r="G20" s="11" t="n">
        <f aca="false">'06_Score_Fusionne'!F18</f>
        <v>4.59992095054796</v>
      </c>
      <c r="H20" s="12" t="n">
        <f aca="false">'06_Score_Fusionne'!G18</f>
        <v>4.41847025507884</v>
      </c>
      <c r="I20" s="13" t="n">
        <f aca="false">'06_Score_Fusionne'!H18</f>
        <v>4.17653599445335</v>
      </c>
      <c r="J20" s="14" t="n">
        <f aca="false">'06_Score_Fusionne'!I18</f>
        <v>3.93460173382785</v>
      </c>
      <c r="K20" s="15" t="n">
        <f aca="false">'04_Exploitation'!M20</f>
        <v>259.259259259259</v>
      </c>
      <c r="L20" s="16" t="n">
        <f aca="false">'04_Exploitation'!G20</f>
        <v>60</v>
      </c>
    </row>
    <row r="23" customFormat="false" ht="15" hidden="false" customHeight="true" outlineLevel="0" collapsed="false">
      <c r="A23" s="4" t="s">
        <v>30</v>
      </c>
    </row>
    <row r="24" customFormat="false" ht="15" hidden="false" customHeight="true" outlineLevel="0" collapsed="false">
      <c r="A24" s="19" t="s">
        <v>31</v>
      </c>
      <c r="B24" s="20" t="s">
        <v>32</v>
      </c>
      <c r="C24" s="21" t="s">
        <v>33</v>
      </c>
    </row>
    <row r="25" customFormat="false" ht="15" hidden="false" customHeight="true" outlineLevel="0" collapsed="false">
      <c r="A25" s="22" t="s">
        <v>34</v>
      </c>
      <c r="B25" s="23" t="s">
        <v>35</v>
      </c>
      <c r="C25" s="24" t="s">
        <v>36</v>
      </c>
    </row>
    <row r="26" customFormat="false" ht="15" hidden="false" customHeight="true" outlineLevel="0" collapsed="false">
      <c r="A26" s="25" t="s">
        <v>37</v>
      </c>
      <c r="B26" s="26" t="s">
        <v>38</v>
      </c>
      <c r="C26" s="27" t="s">
        <v>39</v>
      </c>
    </row>
    <row r="27" customFormat="false" ht="15" hidden="false" customHeight="true" outlineLevel="0" collapsed="false">
      <c r="A27" s="28" t="s">
        <v>40</v>
      </c>
      <c r="B27" s="29" t="s">
        <v>41</v>
      </c>
      <c r="C27" s="30" t="s">
        <v>42</v>
      </c>
    </row>
    <row r="29" customFormat="false" ht="15" hidden="false" customHeight="true" outlineLevel="0" collapsed="false">
      <c r="A29" s="4" t="s">
        <v>43</v>
      </c>
    </row>
    <row r="30" customFormat="false" ht="15" hidden="false" customHeight="true" outlineLevel="0" collapsed="false">
      <c r="A30" s="18" t="s">
        <v>23</v>
      </c>
      <c r="B30" s="31" t="s">
        <v>44</v>
      </c>
      <c r="C30" s="31"/>
      <c r="D30" s="31"/>
    </row>
    <row r="31" customFormat="false" ht="15" hidden="false" customHeight="true" outlineLevel="0" collapsed="false">
      <c r="A31" s="17" t="s">
        <v>19</v>
      </c>
      <c r="B31" s="31" t="s">
        <v>45</v>
      </c>
      <c r="C31" s="31"/>
      <c r="D31" s="31"/>
    </row>
    <row r="32" customFormat="false" ht="15" hidden="false" customHeight="true" outlineLevel="0" collapsed="false">
      <c r="A32" s="8" t="s">
        <v>17</v>
      </c>
      <c r="B32" s="31" t="s">
        <v>46</v>
      </c>
      <c r="C32" s="31"/>
      <c r="D32" s="31"/>
    </row>
    <row r="34" customFormat="false" ht="15" hidden="false" customHeight="true" outlineLevel="0" collapsed="false">
      <c r="A34" s="4" t="s">
        <v>47</v>
      </c>
    </row>
    <row r="35" customFormat="false" ht="15" hidden="false" customHeight="true" outlineLevel="0" collapsed="false">
      <c r="A35" s="4" t="s">
        <v>48</v>
      </c>
      <c r="B35" s="32" t="s">
        <v>49</v>
      </c>
      <c r="C35" s="32"/>
      <c r="D35" s="32"/>
    </row>
    <row r="36" customFormat="false" ht="15" hidden="false" customHeight="true" outlineLevel="0" collapsed="false">
      <c r="A36" s="4" t="s">
        <v>50</v>
      </c>
      <c r="B36" s="32" t="s">
        <v>51</v>
      </c>
      <c r="C36" s="32"/>
      <c r="D36" s="32"/>
    </row>
    <row r="37" customFormat="false" ht="15" hidden="false" customHeight="true" outlineLevel="0" collapsed="false">
      <c r="A37" s="4" t="s">
        <v>52</v>
      </c>
      <c r="B37" s="32" t="s">
        <v>53</v>
      </c>
      <c r="C37" s="32"/>
      <c r="D37" s="32"/>
    </row>
    <row r="38" customFormat="false" ht="15" hidden="false" customHeight="true" outlineLevel="0" collapsed="false">
      <c r="A38" s="4" t="s">
        <v>54</v>
      </c>
      <c r="B38" s="32" t="s">
        <v>55</v>
      </c>
      <c r="C38" s="32"/>
      <c r="D38" s="32"/>
    </row>
    <row r="39" customFormat="false" ht="15" hidden="false" customHeight="true" outlineLevel="0" collapsed="false">
      <c r="A39" s="4" t="s">
        <v>56</v>
      </c>
      <c r="B39" s="32" t="s">
        <v>57</v>
      </c>
      <c r="C39" s="32"/>
      <c r="D39" s="32"/>
    </row>
    <row r="40" customFormat="false" ht="15" hidden="false" customHeight="true" outlineLevel="0" collapsed="false">
      <c r="A40" s="4" t="s">
        <v>58</v>
      </c>
      <c r="B40" s="32" t="s">
        <v>59</v>
      </c>
      <c r="C40" s="32"/>
      <c r="D40" s="32"/>
    </row>
    <row r="41" customFormat="false" ht="15" hidden="false" customHeight="true" outlineLevel="0" collapsed="false">
      <c r="A41" s="4" t="s">
        <v>60</v>
      </c>
      <c r="B41" s="32" t="s">
        <v>61</v>
      </c>
      <c r="C41" s="32"/>
      <c r="D41" s="32"/>
    </row>
    <row r="42" customFormat="false" ht="15" hidden="false" customHeight="true" outlineLevel="0" collapsed="false">
      <c r="A42" s="4" t="s">
        <v>62</v>
      </c>
      <c r="B42" s="32" t="s">
        <v>63</v>
      </c>
      <c r="C42" s="32"/>
      <c r="D42" s="32"/>
    </row>
    <row r="43" customFormat="false" ht="15" hidden="false" customHeight="true" outlineLevel="0" collapsed="false">
      <c r="A43" s="4" t="s">
        <v>64</v>
      </c>
      <c r="B43" s="32" t="s">
        <v>65</v>
      </c>
      <c r="C43" s="32"/>
      <c r="D43" s="32"/>
    </row>
  </sheetData>
  <mergeCells count="15">
    <mergeCell ref="A1:L1"/>
    <mergeCell ref="A2:L2"/>
    <mergeCell ref="A5:L7"/>
    <mergeCell ref="B30:D30"/>
    <mergeCell ref="B31:D31"/>
    <mergeCell ref="B32:D32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</mergeCells>
  <conditionalFormatting sqref="E10:E2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0:F2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10:G2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0:H20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0:I2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0:J2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12"/>
  </cols>
  <sheetData>
    <row r="1" customFormat="false" ht="17.25" hidden="false" customHeight="true" outlineLevel="0" collapsed="false">
      <c r="A1" s="2" t="s">
        <v>66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3" t="s">
        <v>67</v>
      </c>
      <c r="B2" s="33"/>
      <c r="C2" s="33"/>
      <c r="D2" s="33"/>
      <c r="E2" s="33"/>
      <c r="F2" s="33"/>
      <c r="G2" s="33"/>
    </row>
    <row r="4" customFormat="false" ht="26.25" hidden="false" customHeight="true" outlineLevel="0" collapsed="false">
      <c r="A4" s="6" t="s">
        <v>68</v>
      </c>
      <c r="B4" s="6" t="s">
        <v>4</v>
      </c>
      <c r="C4" s="6" t="s">
        <v>6</v>
      </c>
      <c r="D4" s="6" t="s">
        <v>69</v>
      </c>
      <c r="E4" s="6" t="s">
        <v>70</v>
      </c>
      <c r="F4" s="6" t="s">
        <v>71</v>
      </c>
      <c r="G4" s="6" t="s">
        <v>5</v>
      </c>
    </row>
    <row r="5" customFormat="false" ht="15" hidden="false" customHeight="true" outlineLevel="0" collapsed="false">
      <c r="A5" s="34" t="s">
        <v>72</v>
      </c>
      <c r="B5" s="34" t="s">
        <v>16</v>
      </c>
      <c r="C5" s="34" t="s">
        <v>73</v>
      </c>
      <c r="D5" s="34" t="s">
        <v>73</v>
      </c>
      <c r="E5" s="34" t="s">
        <v>74</v>
      </c>
      <c r="F5" s="34" t="s">
        <v>75</v>
      </c>
      <c r="G5" s="8" t="s">
        <v>17</v>
      </c>
    </row>
    <row r="6" customFormat="false" ht="15" hidden="false" customHeight="true" outlineLevel="0" collapsed="false">
      <c r="A6" s="34" t="s">
        <v>76</v>
      </c>
      <c r="B6" s="34" t="s">
        <v>18</v>
      </c>
      <c r="C6" s="34" t="s">
        <v>73</v>
      </c>
      <c r="D6" s="34" t="s">
        <v>73</v>
      </c>
      <c r="E6" s="34" t="s">
        <v>77</v>
      </c>
      <c r="F6" s="34" t="s">
        <v>78</v>
      </c>
      <c r="G6" s="17" t="s">
        <v>19</v>
      </c>
    </row>
    <row r="7" customFormat="false" ht="15" hidden="false" customHeight="true" outlineLevel="0" collapsed="false">
      <c r="A7" s="34" t="s">
        <v>79</v>
      </c>
      <c r="B7" s="34" t="s">
        <v>20</v>
      </c>
      <c r="C7" s="34" t="s">
        <v>80</v>
      </c>
      <c r="D7" s="34" t="s">
        <v>80</v>
      </c>
      <c r="E7" s="34" t="s">
        <v>81</v>
      </c>
      <c r="F7" s="34" t="s">
        <v>82</v>
      </c>
      <c r="G7" s="17" t="s">
        <v>19</v>
      </c>
    </row>
    <row r="8" customFormat="false" ht="15" hidden="false" customHeight="true" outlineLevel="0" collapsed="false">
      <c r="A8" s="34" t="s">
        <v>83</v>
      </c>
      <c r="B8" s="34" t="s">
        <v>21</v>
      </c>
      <c r="C8" s="34" t="s">
        <v>84</v>
      </c>
      <c r="D8" s="34" t="s">
        <v>84</v>
      </c>
      <c r="E8" s="34" t="s">
        <v>74</v>
      </c>
      <c r="F8" s="34" t="s">
        <v>85</v>
      </c>
      <c r="G8" s="17" t="s">
        <v>19</v>
      </c>
    </row>
    <row r="9" customFormat="false" ht="15" hidden="false" customHeight="true" outlineLevel="0" collapsed="false">
      <c r="A9" s="34" t="s">
        <v>86</v>
      </c>
      <c r="B9" s="34" t="s">
        <v>22</v>
      </c>
      <c r="C9" s="34" t="s">
        <v>84</v>
      </c>
      <c r="D9" s="34" t="s">
        <v>84</v>
      </c>
      <c r="E9" s="34" t="s">
        <v>87</v>
      </c>
      <c r="F9" s="34" t="s">
        <v>88</v>
      </c>
      <c r="G9" s="18" t="s">
        <v>23</v>
      </c>
    </row>
    <row r="10" customFormat="false" ht="15" hidden="false" customHeight="true" outlineLevel="0" collapsed="false">
      <c r="A10" s="34" t="s">
        <v>89</v>
      </c>
      <c r="B10" s="34" t="s">
        <v>24</v>
      </c>
      <c r="C10" s="34" t="s">
        <v>84</v>
      </c>
      <c r="D10" s="34" t="s">
        <v>84</v>
      </c>
      <c r="E10" s="34" t="s">
        <v>90</v>
      </c>
      <c r="F10" s="34" t="s">
        <v>91</v>
      </c>
      <c r="G10" s="18" t="s">
        <v>23</v>
      </c>
    </row>
    <row r="11" customFormat="false" ht="15" hidden="false" customHeight="true" outlineLevel="0" collapsed="false">
      <c r="A11" s="34" t="s">
        <v>92</v>
      </c>
      <c r="B11" s="34" t="s">
        <v>25</v>
      </c>
      <c r="C11" s="34" t="s">
        <v>84</v>
      </c>
      <c r="D11" s="34" t="s">
        <v>84</v>
      </c>
      <c r="E11" s="34" t="s">
        <v>93</v>
      </c>
      <c r="F11" s="34" t="s">
        <v>94</v>
      </c>
      <c r="G11" s="18" t="s">
        <v>23</v>
      </c>
    </row>
    <row r="12" customFormat="false" ht="15" hidden="false" customHeight="true" outlineLevel="0" collapsed="false">
      <c r="A12" s="34" t="s">
        <v>95</v>
      </c>
      <c r="B12" s="34" t="s">
        <v>26</v>
      </c>
      <c r="C12" s="34" t="s">
        <v>96</v>
      </c>
      <c r="D12" s="34" t="s">
        <v>96</v>
      </c>
      <c r="E12" s="34" t="s">
        <v>87</v>
      </c>
      <c r="F12" s="34" t="s">
        <v>97</v>
      </c>
      <c r="G12" s="18" t="s">
        <v>23</v>
      </c>
    </row>
    <row r="13" customFormat="false" ht="15" hidden="false" customHeight="true" outlineLevel="0" collapsed="false">
      <c r="A13" s="34" t="s">
        <v>98</v>
      </c>
      <c r="B13" s="34" t="s">
        <v>27</v>
      </c>
      <c r="C13" s="34" t="s">
        <v>96</v>
      </c>
      <c r="D13" s="34" t="s">
        <v>96</v>
      </c>
      <c r="E13" s="34" t="s">
        <v>93</v>
      </c>
      <c r="F13" s="34" t="s">
        <v>99</v>
      </c>
      <c r="G13" s="18" t="s">
        <v>23</v>
      </c>
    </row>
    <row r="14" customFormat="false" ht="15" hidden="false" customHeight="true" outlineLevel="0" collapsed="false">
      <c r="A14" s="34" t="s">
        <v>100</v>
      </c>
      <c r="B14" s="34" t="s">
        <v>28</v>
      </c>
      <c r="C14" s="34" t="s">
        <v>73</v>
      </c>
      <c r="D14" s="34" t="s">
        <v>73</v>
      </c>
      <c r="E14" s="34" t="s">
        <v>74</v>
      </c>
      <c r="F14" s="34" t="s">
        <v>101</v>
      </c>
      <c r="G14" s="18" t="s">
        <v>23</v>
      </c>
    </row>
    <row r="15" customFormat="false" ht="15" hidden="false" customHeight="true" outlineLevel="0" collapsed="false">
      <c r="A15" s="34" t="s">
        <v>102</v>
      </c>
      <c r="B15" s="34" t="s">
        <v>29</v>
      </c>
      <c r="C15" s="34" t="s">
        <v>84</v>
      </c>
      <c r="D15" s="34" t="s">
        <v>84</v>
      </c>
      <c r="E15" s="34" t="s">
        <v>74</v>
      </c>
      <c r="F15" s="34" t="s">
        <v>103</v>
      </c>
      <c r="G15" s="18" t="s">
        <v>23</v>
      </c>
    </row>
    <row r="17" customFormat="false" ht="15" hidden="false" customHeight="true" outlineLevel="0" collapsed="false">
      <c r="A17" s="4" t="s">
        <v>104</v>
      </c>
    </row>
    <row r="18" customFormat="false" ht="15" hidden="false" customHeight="true" outlineLevel="0" collapsed="false">
      <c r="A18" s="33" t="s">
        <v>105</v>
      </c>
      <c r="B18" s="33"/>
      <c r="C18" s="33"/>
      <c r="D18" s="33"/>
      <c r="E18" s="33"/>
      <c r="F18" s="33"/>
      <c r="G18" s="33"/>
    </row>
    <row r="19" customFormat="false" ht="15" hidden="false" customHeight="true" outlineLevel="0" collapsed="false">
      <c r="A19" s="33" t="s">
        <v>106</v>
      </c>
      <c r="B19" s="33"/>
      <c r="C19" s="33"/>
      <c r="D19" s="33"/>
      <c r="E19" s="33"/>
      <c r="F19" s="33"/>
      <c r="G19" s="33"/>
    </row>
    <row r="20" customFormat="false" ht="15" hidden="false" customHeight="true" outlineLevel="0" collapsed="false">
      <c r="A20" s="33" t="s">
        <v>107</v>
      </c>
      <c r="B20" s="33"/>
      <c r="C20" s="33"/>
      <c r="D20" s="33"/>
      <c r="E20" s="33"/>
      <c r="F20" s="33"/>
      <c r="G20" s="33"/>
    </row>
    <row r="21" customFormat="false" ht="15" hidden="false" customHeight="true" outlineLevel="0" collapsed="false">
      <c r="A21" s="33" t="s">
        <v>108</v>
      </c>
      <c r="B21" s="33"/>
      <c r="C21" s="33"/>
      <c r="D21" s="33"/>
      <c r="E21" s="33"/>
      <c r="F21" s="33"/>
      <c r="G21" s="33"/>
    </row>
  </sheetData>
  <mergeCells count="6">
    <mergeCell ref="A1:G1"/>
    <mergeCell ref="A2:G2"/>
    <mergeCell ref="A18:G18"/>
    <mergeCell ref="A19:G19"/>
    <mergeCell ref="A20:G20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17" min="3" style="0" width="8.5"/>
    <col collapsed="false" customWidth="true" hidden="false" outlineLevel="0" max="19" min="18" style="0" width="14"/>
  </cols>
  <sheetData>
    <row r="1" customFormat="false" ht="17.35" hidden="false" customHeight="false" outlineLevel="0" collapsed="false">
      <c r="A1" s="35" t="s">
        <v>109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customFormat="false" ht="15" hidden="false" customHeight="false" outlineLevel="0" collapsed="false">
      <c r="A2" s="36" t="s">
        <v>110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</row>
    <row r="4" customFormat="false" ht="21.75" hidden="false" customHeight="true" outlineLevel="0" collapsed="false">
      <c r="A4" s="37" t="s">
        <v>68</v>
      </c>
      <c r="B4" s="37" t="s">
        <v>4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100</v>
      </c>
      <c r="M4" s="6" t="s">
        <v>102</v>
      </c>
      <c r="N4" s="6" t="s">
        <v>120</v>
      </c>
      <c r="O4" s="6" t="s">
        <v>121</v>
      </c>
      <c r="P4" s="6" t="s">
        <v>122</v>
      </c>
      <c r="Q4" s="6" t="s">
        <v>123</v>
      </c>
      <c r="R4" s="37" t="s">
        <v>124</v>
      </c>
      <c r="S4" s="37" t="s">
        <v>125</v>
      </c>
    </row>
    <row r="5" customFormat="false" ht="60" hidden="false" customHeight="true" outlineLevel="0" collapsed="false">
      <c r="A5" s="38" t="s">
        <v>126</v>
      </c>
      <c r="C5" s="39" t="s">
        <v>127</v>
      </c>
      <c r="D5" s="39" t="s">
        <v>128</v>
      </c>
      <c r="E5" s="39" t="s">
        <v>129</v>
      </c>
      <c r="F5" s="39" t="s">
        <v>130</v>
      </c>
      <c r="G5" s="39" t="s">
        <v>131</v>
      </c>
      <c r="H5" s="39" t="s">
        <v>132</v>
      </c>
      <c r="I5" s="39" t="s">
        <v>133</v>
      </c>
      <c r="J5" s="39" t="s">
        <v>134</v>
      </c>
      <c r="K5" s="39" t="s">
        <v>135</v>
      </c>
      <c r="L5" s="39" t="s">
        <v>136</v>
      </c>
      <c r="M5" s="39" t="s">
        <v>137</v>
      </c>
      <c r="N5" s="39" t="s">
        <v>138</v>
      </c>
      <c r="O5" s="39" t="s">
        <v>139</v>
      </c>
      <c r="P5" s="39" t="s">
        <v>140</v>
      </c>
      <c r="Q5" s="39" t="s">
        <v>141</v>
      </c>
    </row>
    <row r="6" customFormat="false" ht="15" hidden="false" customHeight="false" outlineLevel="0" collapsed="false">
      <c r="A6" s="40" t="s">
        <v>142</v>
      </c>
      <c r="B6" s="41" t="s">
        <v>143</v>
      </c>
      <c r="C6" s="42" t="n">
        <v>1.5</v>
      </c>
      <c r="D6" s="42" t="n">
        <v>1</v>
      </c>
      <c r="E6" s="42" t="n">
        <v>1.5</v>
      </c>
      <c r="F6" s="42" t="n">
        <v>1</v>
      </c>
      <c r="G6" s="42" t="n">
        <v>1.2</v>
      </c>
      <c r="H6" s="42" t="n">
        <v>1.5</v>
      </c>
      <c r="I6" s="42" t="n">
        <v>1.5</v>
      </c>
      <c r="J6" s="42" t="n">
        <v>1</v>
      </c>
      <c r="K6" s="42" t="n">
        <v>1</v>
      </c>
      <c r="L6" s="42" t="n">
        <v>1</v>
      </c>
      <c r="M6" s="42" t="n">
        <v>1.2</v>
      </c>
      <c r="N6" s="42" t="n">
        <v>1.3</v>
      </c>
      <c r="O6" s="42" t="n">
        <v>0.7</v>
      </c>
      <c r="P6" s="42" t="n">
        <v>1</v>
      </c>
      <c r="Q6" s="42" t="n">
        <v>1</v>
      </c>
      <c r="R6" s="43" t="n">
        <f aca="false">SUM(C6:Q6)</f>
        <v>17.4</v>
      </c>
    </row>
    <row r="7" customFormat="false" ht="15" hidden="false" customHeight="false" outlineLevel="0" collapsed="false">
      <c r="A7" s="44" t="s">
        <v>72</v>
      </c>
      <c r="B7" s="45" t="s">
        <v>16</v>
      </c>
      <c r="C7" s="46" t="n">
        <v>5</v>
      </c>
      <c r="D7" s="46" t="n">
        <v>4</v>
      </c>
      <c r="E7" s="46" t="n">
        <v>5</v>
      </c>
      <c r="F7" s="46" t="n">
        <v>5</v>
      </c>
      <c r="G7" s="46" t="n">
        <v>5</v>
      </c>
      <c r="H7" s="46" t="n">
        <v>5</v>
      </c>
      <c r="I7" s="46" t="n">
        <v>5</v>
      </c>
      <c r="J7" s="46" t="n">
        <v>5</v>
      </c>
      <c r="K7" s="46" t="n">
        <v>3</v>
      </c>
      <c r="L7" s="46" t="n">
        <v>5</v>
      </c>
      <c r="M7" s="46" t="n">
        <v>5</v>
      </c>
      <c r="N7" s="46" t="n">
        <v>5</v>
      </c>
      <c r="O7" s="46" t="n">
        <v>5</v>
      </c>
      <c r="P7" s="46" t="n">
        <v>4</v>
      </c>
      <c r="Q7" s="46" t="n">
        <v>5</v>
      </c>
      <c r="R7" s="47" t="n">
        <f aca="false">SUMPRODUCT(C7:Q7,$C$6:$Q$6)/SUM($C$6:$Q$6)</f>
        <v>4.77011494252874</v>
      </c>
      <c r="S7" s="48" t="n">
        <f aca="false">AVERAGE(C7:Q7)</f>
        <v>4.73333333333333</v>
      </c>
    </row>
    <row r="8" customFormat="false" ht="15" hidden="false" customHeight="false" outlineLevel="0" collapsed="false">
      <c r="A8" s="44" t="s">
        <v>76</v>
      </c>
      <c r="B8" s="45" t="s">
        <v>18</v>
      </c>
      <c r="C8" s="46" t="n">
        <v>5</v>
      </c>
      <c r="D8" s="46" t="n">
        <v>4</v>
      </c>
      <c r="E8" s="46" t="n">
        <v>4</v>
      </c>
      <c r="F8" s="46" t="n">
        <v>3</v>
      </c>
      <c r="G8" s="46" t="n">
        <v>3</v>
      </c>
      <c r="H8" s="46" t="n">
        <v>2</v>
      </c>
      <c r="I8" s="46" t="n">
        <v>3</v>
      </c>
      <c r="J8" s="46" t="n">
        <v>2</v>
      </c>
      <c r="K8" s="46" t="n">
        <v>3</v>
      </c>
      <c r="L8" s="46" t="n">
        <v>4</v>
      </c>
      <c r="M8" s="46" t="n">
        <v>4</v>
      </c>
      <c r="N8" s="46" t="n">
        <v>4</v>
      </c>
      <c r="O8" s="46" t="n">
        <v>4</v>
      </c>
      <c r="P8" s="46" t="n">
        <v>4</v>
      </c>
      <c r="Q8" s="46" t="n">
        <v>2</v>
      </c>
      <c r="R8" s="47" t="n">
        <f aca="false">SUMPRODUCT(C8:Q8,$C$6:$Q$6)/SUM($C$6:$Q$6)</f>
        <v>3.41379310344828</v>
      </c>
      <c r="S8" s="48" t="n">
        <f aca="false">AVERAGE(C8:Q8)</f>
        <v>3.4</v>
      </c>
    </row>
    <row r="9" customFormat="false" ht="23.85" hidden="false" customHeight="false" outlineLevel="0" collapsed="false">
      <c r="A9" s="44" t="s">
        <v>79</v>
      </c>
      <c r="B9" s="45" t="s">
        <v>20</v>
      </c>
      <c r="C9" s="46" t="n">
        <v>4</v>
      </c>
      <c r="D9" s="46" t="n">
        <v>5</v>
      </c>
      <c r="E9" s="46" t="n">
        <v>5</v>
      </c>
      <c r="F9" s="46" t="n">
        <v>5</v>
      </c>
      <c r="G9" s="46" t="n">
        <v>5</v>
      </c>
      <c r="H9" s="46" t="n">
        <v>4</v>
      </c>
      <c r="I9" s="46" t="n">
        <v>5</v>
      </c>
      <c r="J9" s="46" t="n">
        <v>4</v>
      </c>
      <c r="K9" s="46" t="n">
        <v>4</v>
      </c>
      <c r="L9" s="46" t="n">
        <v>5</v>
      </c>
      <c r="M9" s="46" t="n">
        <v>5</v>
      </c>
      <c r="N9" s="46" t="n">
        <v>3</v>
      </c>
      <c r="O9" s="46" t="n">
        <v>5</v>
      </c>
      <c r="P9" s="46" t="n">
        <v>4</v>
      </c>
      <c r="Q9" s="46" t="n">
        <v>4</v>
      </c>
      <c r="R9" s="47" t="n">
        <f aca="false">SUMPRODUCT(C9:Q9,$C$6:$Q$6)/SUM($C$6:$Q$6)</f>
        <v>4.44827586206897</v>
      </c>
      <c r="S9" s="48" t="n">
        <f aca="false">AVERAGE(C9:Q9)</f>
        <v>4.46666666666667</v>
      </c>
    </row>
    <row r="10" customFormat="false" ht="15" hidden="false" customHeight="false" outlineLevel="0" collapsed="false">
      <c r="A10" s="44" t="s">
        <v>83</v>
      </c>
      <c r="B10" s="45" t="s">
        <v>21</v>
      </c>
      <c r="C10" s="46" t="n">
        <v>2</v>
      </c>
      <c r="D10" s="46" t="n">
        <v>3</v>
      </c>
      <c r="E10" s="46" t="n">
        <v>2</v>
      </c>
      <c r="F10" s="46" t="n">
        <v>5</v>
      </c>
      <c r="G10" s="46" t="n">
        <v>5</v>
      </c>
      <c r="H10" s="46" t="n">
        <v>5</v>
      </c>
      <c r="I10" s="46" t="n">
        <v>4</v>
      </c>
      <c r="J10" s="46" t="n">
        <v>4</v>
      </c>
      <c r="K10" s="46" t="n">
        <v>3</v>
      </c>
      <c r="L10" s="46" t="n">
        <v>4</v>
      </c>
      <c r="M10" s="46" t="n">
        <v>5</v>
      </c>
      <c r="N10" s="46" t="n">
        <v>3</v>
      </c>
      <c r="O10" s="46" t="n">
        <v>4</v>
      </c>
      <c r="P10" s="46" t="n">
        <v>2</v>
      </c>
      <c r="Q10" s="46" t="n">
        <v>5</v>
      </c>
      <c r="R10" s="47" t="n">
        <f aca="false">SUMPRODUCT(C10:Q10,$C$6:$Q$6)/SUM($C$6:$Q$6)</f>
        <v>3.68965517241379</v>
      </c>
      <c r="S10" s="48" t="n">
        <f aca="false">AVERAGE(C10:Q10)</f>
        <v>3.73333333333333</v>
      </c>
    </row>
    <row r="11" customFormat="false" ht="15" hidden="false" customHeight="false" outlineLevel="0" collapsed="false">
      <c r="A11" s="44" t="s">
        <v>86</v>
      </c>
      <c r="B11" s="45" t="s">
        <v>22</v>
      </c>
      <c r="C11" s="46" t="n">
        <v>2</v>
      </c>
      <c r="D11" s="46" t="n">
        <v>5</v>
      </c>
      <c r="E11" s="46" t="n">
        <v>1</v>
      </c>
      <c r="F11" s="46" t="n">
        <v>3</v>
      </c>
      <c r="G11" s="46" t="n">
        <v>5</v>
      </c>
      <c r="H11" s="46" t="n">
        <v>2</v>
      </c>
      <c r="I11" s="46" t="n">
        <v>3</v>
      </c>
      <c r="J11" s="46" t="n">
        <v>2</v>
      </c>
      <c r="K11" s="46" t="n">
        <v>1</v>
      </c>
      <c r="L11" s="46" t="n">
        <v>4</v>
      </c>
      <c r="M11" s="46" t="n">
        <v>3</v>
      </c>
      <c r="N11" s="46" t="n">
        <v>1</v>
      </c>
      <c r="O11" s="46" t="n">
        <v>3</v>
      </c>
      <c r="P11" s="46" t="n">
        <v>5</v>
      </c>
      <c r="Q11" s="46" t="n">
        <v>2</v>
      </c>
      <c r="R11" s="47" t="n">
        <f aca="false">SUMPRODUCT(C11:Q11,$C$6:$Q$6)/SUM($C$6:$Q$6)</f>
        <v>2.70114942528736</v>
      </c>
      <c r="S11" s="48" t="n">
        <f aca="false">AVERAGE(C11:Q11)</f>
        <v>2.8</v>
      </c>
    </row>
    <row r="12" customFormat="false" ht="15" hidden="false" customHeight="false" outlineLevel="0" collapsed="false">
      <c r="A12" s="44" t="s">
        <v>89</v>
      </c>
      <c r="B12" s="45" t="s">
        <v>24</v>
      </c>
      <c r="C12" s="46" t="n">
        <v>2</v>
      </c>
      <c r="D12" s="46" t="n">
        <v>4</v>
      </c>
      <c r="E12" s="46" t="n">
        <v>1</v>
      </c>
      <c r="F12" s="46" t="n">
        <v>2</v>
      </c>
      <c r="G12" s="46" t="n">
        <v>3</v>
      </c>
      <c r="H12" s="46" t="n">
        <v>1</v>
      </c>
      <c r="I12" s="46" t="n">
        <v>2</v>
      </c>
      <c r="J12" s="46" t="n">
        <v>2</v>
      </c>
      <c r="K12" s="46" t="n">
        <v>1</v>
      </c>
      <c r="L12" s="46" t="n">
        <v>3</v>
      </c>
      <c r="M12" s="46" t="n">
        <v>2</v>
      </c>
      <c r="N12" s="46" t="n">
        <v>1</v>
      </c>
      <c r="O12" s="46" t="n">
        <v>2</v>
      </c>
      <c r="P12" s="46" t="n">
        <v>5</v>
      </c>
      <c r="Q12" s="46" t="n">
        <v>1</v>
      </c>
      <c r="R12" s="47" t="n">
        <f aca="false">SUMPRODUCT(C12:Q12,$C$6:$Q$6)/SUM($C$6:$Q$6)</f>
        <v>2.05172413793103</v>
      </c>
      <c r="S12" s="48" t="n">
        <f aca="false">AVERAGE(C12:Q12)</f>
        <v>2.13333333333333</v>
      </c>
    </row>
    <row r="13" customFormat="false" ht="15" hidden="false" customHeight="false" outlineLevel="0" collapsed="false">
      <c r="A13" s="44" t="s">
        <v>92</v>
      </c>
      <c r="B13" s="45" t="s">
        <v>25</v>
      </c>
      <c r="C13" s="46" t="n">
        <v>2</v>
      </c>
      <c r="D13" s="46" t="n">
        <v>4</v>
      </c>
      <c r="E13" s="46" t="n">
        <v>1</v>
      </c>
      <c r="F13" s="46" t="n">
        <v>2</v>
      </c>
      <c r="G13" s="46" t="n">
        <v>2</v>
      </c>
      <c r="H13" s="46" t="n">
        <v>1</v>
      </c>
      <c r="I13" s="46" t="n">
        <v>2</v>
      </c>
      <c r="J13" s="46" t="n">
        <v>2</v>
      </c>
      <c r="K13" s="46" t="n">
        <v>1</v>
      </c>
      <c r="L13" s="46" t="n">
        <v>3</v>
      </c>
      <c r="M13" s="46" t="n">
        <v>2</v>
      </c>
      <c r="N13" s="46" t="n">
        <v>1</v>
      </c>
      <c r="O13" s="46" t="n">
        <v>2</v>
      </c>
      <c r="P13" s="46" t="n">
        <v>5</v>
      </c>
      <c r="Q13" s="46" t="n">
        <v>1</v>
      </c>
      <c r="R13" s="47" t="n">
        <f aca="false">SUMPRODUCT(C13:Q13,$C$6:$Q$6)/SUM($C$6:$Q$6)</f>
        <v>1.98275862068966</v>
      </c>
      <c r="S13" s="48" t="n">
        <f aca="false">AVERAGE(C13:Q13)</f>
        <v>2.06666666666667</v>
      </c>
    </row>
    <row r="14" customFormat="false" ht="23.85" hidden="false" customHeight="false" outlineLevel="0" collapsed="false">
      <c r="A14" s="44" t="s">
        <v>95</v>
      </c>
      <c r="B14" s="45" t="s">
        <v>26</v>
      </c>
      <c r="C14" s="46" t="n">
        <v>1</v>
      </c>
      <c r="D14" s="46" t="n">
        <v>3</v>
      </c>
      <c r="E14" s="46" t="n">
        <v>1</v>
      </c>
      <c r="F14" s="46" t="n">
        <v>3</v>
      </c>
      <c r="G14" s="46" t="n">
        <v>4</v>
      </c>
      <c r="H14" s="46" t="n">
        <v>2</v>
      </c>
      <c r="I14" s="46" t="n">
        <v>2</v>
      </c>
      <c r="J14" s="46" t="n">
        <v>2</v>
      </c>
      <c r="K14" s="46" t="n">
        <v>2</v>
      </c>
      <c r="L14" s="46" t="n">
        <v>4</v>
      </c>
      <c r="M14" s="46" t="n">
        <v>4</v>
      </c>
      <c r="N14" s="46" t="n">
        <v>5</v>
      </c>
      <c r="O14" s="46" t="n">
        <v>3</v>
      </c>
      <c r="P14" s="46" t="n">
        <v>3</v>
      </c>
      <c r="Q14" s="46" t="n">
        <v>2</v>
      </c>
      <c r="R14" s="47" t="n">
        <f aca="false">SUMPRODUCT(C14:Q14,$C$6:$Q$6)/SUM($C$6:$Q$6)</f>
        <v>2.6551724137931</v>
      </c>
      <c r="S14" s="48" t="n">
        <f aca="false">AVERAGE(C14:Q14)</f>
        <v>2.73333333333333</v>
      </c>
    </row>
    <row r="15" customFormat="false" ht="15" hidden="false" customHeight="false" outlineLevel="0" collapsed="false">
      <c r="A15" s="44" t="s">
        <v>98</v>
      </c>
      <c r="B15" s="45" t="s">
        <v>27</v>
      </c>
      <c r="C15" s="46" t="n">
        <v>1</v>
      </c>
      <c r="D15" s="46" t="n">
        <v>1</v>
      </c>
      <c r="E15" s="46" t="n">
        <v>1</v>
      </c>
      <c r="F15" s="46" t="n">
        <v>1</v>
      </c>
      <c r="G15" s="46" t="n">
        <v>1</v>
      </c>
      <c r="H15" s="46" t="n">
        <v>1</v>
      </c>
      <c r="I15" s="46" t="n">
        <v>1</v>
      </c>
      <c r="J15" s="46" t="n">
        <v>1</v>
      </c>
      <c r="K15" s="46" t="n">
        <v>1</v>
      </c>
      <c r="L15" s="46" t="n">
        <v>4</v>
      </c>
      <c r="M15" s="46" t="n">
        <v>4</v>
      </c>
      <c r="N15" s="46" t="n">
        <v>4</v>
      </c>
      <c r="O15" s="46" t="n">
        <v>2</v>
      </c>
      <c r="P15" s="46" t="n">
        <v>1</v>
      </c>
      <c r="Q15" s="46" t="n">
        <v>1</v>
      </c>
      <c r="R15" s="47" t="n">
        <f aca="false">SUMPRODUCT(C15:Q15,$C$6:$Q$6)/SUM($C$6:$Q$6)</f>
        <v>1.64367816091954</v>
      </c>
      <c r="S15" s="48" t="n">
        <f aca="false">AVERAGE(C15:Q15)</f>
        <v>1.66666666666667</v>
      </c>
    </row>
    <row r="16" customFormat="false" ht="15" hidden="false" customHeight="false" outlineLevel="0" collapsed="false">
      <c r="A16" s="44" t="s">
        <v>100</v>
      </c>
      <c r="B16" s="45" t="s">
        <v>28</v>
      </c>
      <c r="C16" s="46" t="n">
        <v>5</v>
      </c>
      <c r="D16" s="46" t="n">
        <v>4</v>
      </c>
      <c r="E16" s="46" t="n">
        <v>5</v>
      </c>
      <c r="F16" s="46" t="n">
        <v>5</v>
      </c>
      <c r="G16" s="46" t="n">
        <v>5</v>
      </c>
      <c r="H16" s="46" t="n">
        <v>5</v>
      </c>
      <c r="I16" s="46" t="n">
        <v>5</v>
      </c>
      <c r="J16" s="46" t="n">
        <v>5</v>
      </c>
      <c r="K16" s="46" t="n">
        <v>2</v>
      </c>
      <c r="L16" s="46" t="n">
        <v>5</v>
      </c>
      <c r="M16" s="46" t="n">
        <v>5</v>
      </c>
      <c r="N16" s="46" t="n">
        <v>4</v>
      </c>
      <c r="O16" s="46" t="n">
        <v>5</v>
      </c>
      <c r="P16" s="46" t="n">
        <v>4</v>
      </c>
      <c r="Q16" s="46" t="n">
        <v>5</v>
      </c>
      <c r="R16" s="47" t="n">
        <f aca="false">SUMPRODUCT(C16:Q16,$C$6:$Q$6)/SUM($C$6:$Q$6)</f>
        <v>4.63793103448276</v>
      </c>
      <c r="S16" s="48" t="n">
        <f aca="false">AVERAGE(C16:Q16)</f>
        <v>4.6</v>
      </c>
    </row>
    <row r="17" customFormat="false" ht="15" hidden="false" customHeight="false" outlineLevel="0" collapsed="false">
      <c r="A17" s="44" t="s">
        <v>102</v>
      </c>
      <c r="B17" s="45" t="s">
        <v>29</v>
      </c>
      <c r="C17" s="46" t="n">
        <v>2</v>
      </c>
      <c r="D17" s="46" t="n">
        <v>3</v>
      </c>
      <c r="E17" s="46" t="n">
        <v>2</v>
      </c>
      <c r="F17" s="46" t="n">
        <v>5</v>
      </c>
      <c r="G17" s="46" t="n">
        <v>5</v>
      </c>
      <c r="H17" s="46" t="n">
        <v>5</v>
      </c>
      <c r="I17" s="46" t="n">
        <v>4</v>
      </c>
      <c r="J17" s="46" t="n">
        <v>4</v>
      </c>
      <c r="K17" s="46" t="n">
        <v>2</v>
      </c>
      <c r="L17" s="46" t="n">
        <v>4</v>
      </c>
      <c r="M17" s="46" t="n">
        <v>5</v>
      </c>
      <c r="N17" s="46" t="n">
        <v>3</v>
      </c>
      <c r="O17" s="46" t="n">
        <v>4</v>
      </c>
      <c r="P17" s="46" t="n">
        <v>2</v>
      </c>
      <c r="Q17" s="46" t="n">
        <v>5</v>
      </c>
      <c r="R17" s="47" t="n">
        <f aca="false">SUMPRODUCT(C17:Q17,$C$6:$Q$6)/SUM($C$6:$Q$6)</f>
        <v>3.63218390804598</v>
      </c>
      <c r="S17" s="48" t="n">
        <f aca="false">AVERAGE(C17:Q17)</f>
        <v>3.66666666666667</v>
      </c>
    </row>
    <row r="19" customFormat="false" ht="15" hidden="false" customHeight="false" outlineLevel="0" collapsed="false">
      <c r="A19" s="49" t="s">
        <v>104</v>
      </c>
    </row>
    <row r="20" customFormat="false" ht="15" hidden="false" customHeight="false" outlineLevel="0" collapsed="false">
      <c r="A20" s="36" t="s">
        <v>144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</row>
    <row r="21" customFormat="false" ht="15" hidden="false" customHeight="false" outlineLevel="0" collapsed="false">
      <c r="A21" s="36" t="s">
        <v>145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</row>
    <row r="22" customFormat="false" ht="15" hidden="false" customHeight="false" outlineLevel="0" collapsed="false">
      <c r="A22" s="36" t="s">
        <v>146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</row>
    <row r="23" customFormat="false" ht="15" hidden="false" customHeight="false" outlineLevel="0" collapsed="false">
      <c r="A23" s="36" t="s">
        <v>147</v>
      </c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</row>
  </sheetData>
  <mergeCells count="6">
    <mergeCell ref="A1:T1"/>
    <mergeCell ref="A2:T2"/>
    <mergeCell ref="A20:S20"/>
    <mergeCell ref="A21:S21"/>
    <mergeCell ref="A22:S22"/>
    <mergeCell ref="A23:S23"/>
  </mergeCells>
  <conditionalFormatting sqref="C7:Q17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8"/>
    <col collapsed="false" customWidth="true" hidden="false" outlineLevel="0" max="11" min="3" style="1" width="11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24"/>
  </cols>
  <sheetData>
    <row r="1" customFormat="false" ht="17.25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33" t="s">
        <v>149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4" customFormat="false" ht="15" hidden="false" customHeight="true" outlineLevel="0" collapsed="false">
      <c r="A4" s="50" t="s">
        <v>150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</row>
    <row r="5" customFormat="false" ht="45.75" hidden="false" customHeight="true" outlineLevel="0" collapsed="false">
      <c r="A5" s="51" t="s">
        <v>151</v>
      </c>
      <c r="B5" s="52" t="n">
        <v>1505</v>
      </c>
      <c r="C5" s="51" t="s">
        <v>152</v>
      </c>
      <c r="D5" s="52" t="n">
        <v>1545</v>
      </c>
      <c r="E5" s="51" t="s">
        <v>153</v>
      </c>
      <c r="F5" s="52" t="n">
        <v>91</v>
      </c>
      <c r="G5" s="51" t="s">
        <v>154</v>
      </c>
      <c r="H5" s="52" t="n">
        <v>76</v>
      </c>
    </row>
    <row r="6" customFormat="false" ht="23.25" hidden="false" customHeight="true" outlineLevel="0" collapsed="false">
      <c r="A6" s="51" t="s">
        <v>155</v>
      </c>
      <c r="B6" s="53" t="n">
        <v>0.35</v>
      </c>
      <c r="C6" s="51" t="s">
        <v>156</v>
      </c>
      <c r="D6" s="53" t="n">
        <v>0.35</v>
      </c>
      <c r="E6" s="51" t="s">
        <v>157</v>
      </c>
      <c r="F6" s="53" t="n">
        <v>0.2</v>
      </c>
      <c r="G6" s="51" t="s">
        <v>158</v>
      </c>
      <c r="H6" s="53" t="n">
        <v>0.1</v>
      </c>
      <c r="I6" s="4" t="s">
        <v>159</v>
      </c>
      <c r="J6" s="54" t="n">
        <f aca="false">B6+D6+F6+H6</f>
        <v>1</v>
      </c>
    </row>
    <row r="8" customFormat="false" ht="30" hidden="false" customHeight="true" outlineLevel="0" collapsed="false">
      <c r="A8" s="6" t="s">
        <v>68</v>
      </c>
      <c r="B8" s="6" t="s">
        <v>4</v>
      </c>
      <c r="C8" s="6" t="s">
        <v>5</v>
      </c>
      <c r="D8" s="6" t="s">
        <v>160</v>
      </c>
      <c r="E8" s="6" t="s">
        <v>161</v>
      </c>
      <c r="F8" s="6" t="s">
        <v>162</v>
      </c>
      <c r="G8" s="6" t="s">
        <v>163</v>
      </c>
      <c r="H8" s="6" t="s">
        <v>164</v>
      </c>
      <c r="I8" s="6" t="s">
        <v>165</v>
      </c>
      <c r="J8" s="6" t="s">
        <v>166</v>
      </c>
      <c r="K8" s="6" t="s">
        <v>167</v>
      </c>
      <c r="L8" s="6" t="s">
        <v>168</v>
      </c>
      <c r="M8" s="6" t="s">
        <v>169</v>
      </c>
      <c r="N8" s="6" t="s">
        <v>170</v>
      </c>
    </row>
    <row r="9" customFormat="false" ht="15" hidden="false" customHeight="true" outlineLevel="0" collapsed="false">
      <c r="A9" s="55" t="s">
        <v>72</v>
      </c>
      <c r="B9" s="34" t="s">
        <v>16</v>
      </c>
      <c r="C9" s="8" t="s">
        <v>17</v>
      </c>
      <c r="D9" s="55" t="n">
        <v>1269</v>
      </c>
      <c r="E9" s="55" t="n">
        <v>1295</v>
      </c>
      <c r="F9" s="55" t="n">
        <v>65.9</v>
      </c>
      <c r="G9" s="55" t="n">
        <v>22</v>
      </c>
      <c r="H9" s="56" t="n">
        <f aca="false">D9/$B$5*100</f>
        <v>84.3189368770764</v>
      </c>
      <c r="I9" s="56" t="n">
        <f aca="false">E9/$D$5*100</f>
        <v>83.8187702265372</v>
      </c>
      <c r="J9" s="56" t="n">
        <f aca="false">F9/$F$5*100</f>
        <v>72.4175824175824</v>
      </c>
      <c r="K9" s="56" t="n">
        <f aca="false">G9/$H$5*100</f>
        <v>28.9473684210526</v>
      </c>
      <c r="L9" s="56" t="n">
        <f aca="false">H9*$B$6+I9*$D$6+J9*$F$6+K9*$H$6</f>
        <v>76.2264508118865</v>
      </c>
      <c r="M9" s="47" t="n">
        <f aca="false">L9/100*5</f>
        <v>3.81132254059433</v>
      </c>
      <c r="N9" s="57" t="s">
        <v>171</v>
      </c>
    </row>
    <row r="10" customFormat="false" ht="15" hidden="false" customHeight="true" outlineLevel="0" collapsed="false">
      <c r="A10" s="55" t="s">
        <v>76</v>
      </c>
      <c r="B10" s="34" t="s">
        <v>18</v>
      </c>
      <c r="C10" s="17" t="s">
        <v>19</v>
      </c>
      <c r="D10" s="55" t="n">
        <v>1401</v>
      </c>
      <c r="E10" s="55" t="n">
        <v>1412</v>
      </c>
      <c r="F10" s="55" t="n">
        <v>77.2</v>
      </c>
      <c r="G10" s="55" t="n">
        <v>38</v>
      </c>
      <c r="H10" s="56" t="n">
        <f aca="false">D10/$B$5*100</f>
        <v>93.0897009966777</v>
      </c>
      <c r="I10" s="56" t="n">
        <f aca="false">E10/$D$5*100</f>
        <v>91.3915857605178</v>
      </c>
      <c r="J10" s="56" t="n">
        <f aca="false">F10/$F$5*100</f>
        <v>84.8351648351648</v>
      </c>
      <c r="K10" s="56" t="n">
        <f aca="false">G10/$H$5*100</f>
        <v>50</v>
      </c>
      <c r="L10" s="56" t="n">
        <f aca="false">H10*$B$6+I10*$D$6+J10*$F$6+K10*$H$6</f>
        <v>86.5354833320514</v>
      </c>
      <c r="M10" s="47" t="n">
        <f aca="false">L10/100*5</f>
        <v>4.32677416660257</v>
      </c>
      <c r="N10" s="57" t="s">
        <v>171</v>
      </c>
    </row>
    <row r="11" customFormat="false" ht="15" hidden="false" customHeight="true" outlineLevel="0" collapsed="false">
      <c r="A11" s="55" t="s">
        <v>79</v>
      </c>
      <c r="B11" s="34" t="s">
        <v>20</v>
      </c>
      <c r="C11" s="17" t="s">
        <v>19</v>
      </c>
      <c r="D11" s="55" t="n">
        <v>1390</v>
      </c>
      <c r="E11" s="55" t="n">
        <v>1390</v>
      </c>
      <c r="F11" s="55" t="n">
        <v>75</v>
      </c>
      <c r="G11" s="55" t="n">
        <v>35</v>
      </c>
      <c r="H11" s="56" t="n">
        <f aca="false">D11/$B$5*100</f>
        <v>92.358803986711</v>
      </c>
      <c r="I11" s="56" t="n">
        <f aca="false">E11/$D$5*100</f>
        <v>89.9676375404531</v>
      </c>
      <c r="J11" s="56" t="n">
        <f aca="false">F11/$F$5*100</f>
        <v>82.4175824175824</v>
      </c>
      <c r="K11" s="56" t="n">
        <f aca="false">G11/$H$5*100</f>
        <v>46.0526315789474</v>
      </c>
      <c r="L11" s="56" t="n">
        <f aca="false">H11*$B$6+I11*$D$6+J11*$F$6+K11*$H$6</f>
        <v>84.9030341759186</v>
      </c>
      <c r="M11" s="47" t="n">
        <f aca="false">L11/100*5</f>
        <v>4.24515170879593</v>
      </c>
      <c r="N11" s="57" t="s">
        <v>172</v>
      </c>
    </row>
    <row r="12" customFormat="false" ht="15" hidden="false" customHeight="true" outlineLevel="0" collapsed="false">
      <c r="A12" s="55" t="s">
        <v>83</v>
      </c>
      <c r="B12" s="34" t="s">
        <v>21</v>
      </c>
      <c r="C12" s="17" t="s">
        <v>19</v>
      </c>
      <c r="D12" s="55" t="n">
        <v>1292</v>
      </c>
      <c r="E12" s="55" t="n">
        <v>1312</v>
      </c>
      <c r="F12" s="55" t="n">
        <v>80.9</v>
      </c>
      <c r="G12" s="55" t="n">
        <v>40</v>
      </c>
      <c r="H12" s="56" t="n">
        <f aca="false">D12/$B$5*100</f>
        <v>85.8471760797342</v>
      </c>
      <c r="I12" s="56" t="n">
        <f aca="false">E12/$D$5*100</f>
        <v>84.9190938511327</v>
      </c>
      <c r="J12" s="56" t="n">
        <f aca="false">F12/$F$5*100</f>
        <v>88.9010989010989</v>
      </c>
      <c r="K12" s="56" t="n">
        <f aca="false">G12/$H$5*100</f>
        <v>52.6315789473684</v>
      </c>
      <c r="L12" s="56" t="n">
        <f aca="false">H12*$B$6+I12*$D$6+J12*$F$6+K12*$H$6</f>
        <v>82.81157215076</v>
      </c>
      <c r="M12" s="47" t="n">
        <f aca="false">L12/100*5</f>
        <v>4.140578607538</v>
      </c>
      <c r="N12" s="57" t="s">
        <v>171</v>
      </c>
    </row>
    <row r="13" customFormat="false" ht="15" hidden="false" customHeight="true" outlineLevel="0" collapsed="false">
      <c r="A13" s="55" t="s">
        <v>86</v>
      </c>
      <c r="B13" s="34" t="s">
        <v>22</v>
      </c>
      <c r="C13" s="18" t="s">
        <v>23</v>
      </c>
      <c r="D13" s="55" t="n">
        <v>1505</v>
      </c>
      <c r="E13" s="55" t="n">
        <v>1531</v>
      </c>
      <c r="F13" s="55" t="n">
        <v>91</v>
      </c>
      <c r="G13" s="55" t="n">
        <v>76</v>
      </c>
      <c r="H13" s="56" t="n">
        <f aca="false">D13/$B$5*100</f>
        <v>100</v>
      </c>
      <c r="I13" s="56" t="n">
        <f aca="false">E13/$D$5*100</f>
        <v>99.0938511326861</v>
      </c>
      <c r="J13" s="56" t="n">
        <f aca="false">F13/$F$5*100</f>
        <v>100</v>
      </c>
      <c r="K13" s="56" t="n">
        <f aca="false">G13/$H$5*100</f>
        <v>100</v>
      </c>
      <c r="L13" s="56" t="n">
        <f aca="false">H13*$B$6+I13*$D$6+J13*$F$6+K13*$H$6</f>
        <v>99.6828478964401</v>
      </c>
      <c r="M13" s="47" t="n">
        <f aca="false">L13/100*5</f>
        <v>4.98414239482201</v>
      </c>
      <c r="N13" s="57" t="s">
        <v>171</v>
      </c>
    </row>
    <row r="14" customFormat="false" ht="15" hidden="false" customHeight="true" outlineLevel="0" collapsed="false">
      <c r="A14" s="55" t="s">
        <v>89</v>
      </c>
      <c r="B14" s="34" t="s">
        <v>24</v>
      </c>
      <c r="C14" s="18" t="s">
        <v>23</v>
      </c>
      <c r="D14" s="55" t="n">
        <v>1495</v>
      </c>
      <c r="E14" s="55" t="n">
        <v>1538</v>
      </c>
      <c r="F14" s="55" t="n">
        <v>88.5</v>
      </c>
      <c r="G14" s="55" t="n">
        <v>73</v>
      </c>
      <c r="H14" s="56" t="n">
        <f aca="false">D14/$B$5*100</f>
        <v>99.3355481727575</v>
      </c>
      <c r="I14" s="56" t="n">
        <f aca="false">E14/$D$5*100</f>
        <v>99.5469255663431</v>
      </c>
      <c r="J14" s="56" t="n">
        <f aca="false">F14/$F$5*100</f>
        <v>97.2527472527473</v>
      </c>
      <c r="K14" s="56" t="n">
        <f aca="false">G14/$H$5*100</f>
        <v>96.0526315789474</v>
      </c>
      <c r="L14" s="56" t="n">
        <f aca="false">H14*$B$6+I14*$D$6+J14*$F$6+K14*$H$6</f>
        <v>98.6646784171294</v>
      </c>
      <c r="M14" s="47" t="n">
        <f aca="false">L14/100*5</f>
        <v>4.93323392085647</v>
      </c>
      <c r="N14" s="57" t="s">
        <v>171</v>
      </c>
    </row>
    <row r="15" customFormat="false" ht="15" hidden="false" customHeight="true" outlineLevel="0" collapsed="false">
      <c r="A15" s="55" t="s">
        <v>92</v>
      </c>
      <c r="B15" s="34" t="s">
        <v>25</v>
      </c>
      <c r="C15" s="18" t="s">
        <v>23</v>
      </c>
      <c r="D15" s="55" t="n">
        <v>1503</v>
      </c>
      <c r="E15" s="55" t="n">
        <v>1545</v>
      </c>
      <c r="F15" s="55" t="n">
        <v>89.7</v>
      </c>
      <c r="G15" s="55" t="n">
        <v>73</v>
      </c>
      <c r="H15" s="56" t="n">
        <f aca="false">D15/$B$5*100</f>
        <v>99.8671096345515</v>
      </c>
      <c r="I15" s="56" t="n">
        <f aca="false">E15/$D$5*100</f>
        <v>100</v>
      </c>
      <c r="J15" s="56" t="n">
        <f aca="false">F15/$F$5*100</f>
        <v>98.5714285714286</v>
      </c>
      <c r="K15" s="56" t="n">
        <f aca="false">G15/$H$5*100</f>
        <v>96.0526315789474</v>
      </c>
      <c r="L15" s="56" t="n">
        <f aca="false">H15*$B$6+I15*$D$6+J15*$F$6+K15*$H$6</f>
        <v>99.2730372442735</v>
      </c>
      <c r="M15" s="47" t="n">
        <f aca="false">L15/100*5</f>
        <v>4.96365186221367</v>
      </c>
      <c r="N15" s="57" t="s">
        <v>171</v>
      </c>
    </row>
    <row r="16" customFormat="false" ht="15" hidden="false" customHeight="true" outlineLevel="0" collapsed="false">
      <c r="A16" s="55" t="s">
        <v>95</v>
      </c>
      <c r="B16" s="34" t="s">
        <v>26</v>
      </c>
      <c r="C16" s="18" t="s">
        <v>23</v>
      </c>
      <c r="D16" s="55" t="n">
        <v>1466</v>
      </c>
      <c r="E16" s="55" t="n">
        <v>1493</v>
      </c>
      <c r="F16" s="55" t="n">
        <v>87.8</v>
      </c>
      <c r="G16" s="55" t="n">
        <v>70</v>
      </c>
      <c r="H16" s="56" t="n">
        <f aca="false">D16/$B$5*100</f>
        <v>97.4086378737542</v>
      </c>
      <c r="I16" s="56" t="n">
        <f aca="false">E16/$D$5*100</f>
        <v>96.6343042071197</v>
      </c>
      <c r="J16" s="56" t="n">
        <f aca="false">F16/$F$5*100</f>
        <v>96.4835164835165</v>
      </c>
      <c r="K16" s="56" t="n">
        <f aca="false">G16/$H$5*100</f>
        <v>92.1052631578947</v>
      </c>
      <c r="L16" s="56" t="n">
        <f aca="false">H16*$B$6+I16*$D$6+J16*$F$6+K16*$H$6</f>
        <v>96.4222593407986</v>
      </c>
      <c r="M16" s="47" t="n">
        <f aca="false">L16/100*5</f>
        <v>4.82111296703993</v>
      </c>
      <c r="N16" s="57" t="s">
        <v>171</v>
      </c>
    </row>
    <row r="17" customFormat="false" ht="15" hidden="false" customHeight="true" outlineLevel="0" collapsed="false">
      <c r="A17" s="55" t="s">
        <v>98</v>
      </c>
      <c r="B17" s="34" t="s">
        <v>27</v>
      </c>
      <c r="C17" s="18" t="s">
        <v>23</v>
      </c>
      <c r="D17" s="55" t="n">
        <v>1422</v>
      </c>
      <c r="E17" s="55" t="n">
        <v>1438</v>
      </c>
      <c r="F17" s="55" t="n">
        <v>86.2</v>
      </c>
      <c r="G17" s="55" t="n">
        <v>66</v>
      </c>
      <c r="H17" s="56" t="n">
        <f aca="false">D17/$B$5*100</f>
        <v>94.4850498338871</v>
      </c>
      <c r="I17" s="56" t="n">
        <f aca="false">E17/$D$5*100</f>
        <v>93.0744336569579</v>
      </c>
      <c r="J17" s="56" t="n">
        <f aca="false">F17/$F$5*100</f>
        <v>94.7252747252747</v>
      </c>
      <c r="K17" s="56" t="n">
        <f aca="false">G17/$H$5*100</f>
        <v>86.8421052631579</v>
      </c>
      <c r="L17" s="56" t="n">
        <f aca="false">H17*$B$6+I17*$D$6+J17*$F$6+K17*$H$6</f>
        <v>93.2750846931665</v>
      </c>
      <c r="M17" s="47" t="n">
        <f aca="false">L17/100*5</f>
        <v>4.66375423465832</v>
      </c>
      <c r="N17" s="57" t="s">
        <v>171</v>
      </c>
    </row>
    <row r="18" customFormat="false" ht="15" hidden="false" customHeight="true" outlineLevel="0" collapsed="false">
      <c r="A18" s="55" t="s">
        <v>100</v>
      </c>
      <c r="B18" s="34" t="s">
        <v>28</v>
      </c>
      <c r="C18" s="18" t="s">
        <v>23</v>
      </c>
      <c r="D18" s="55" t="n">
        <v>1455</v>
      </c>
      <c r="E18" s="55" t="n">
        <v>1440</v>
      </c>
      <c r="F18" s="55" t="n">
        <v>82</v>
      </c>
      <c r="G18" s="55" t="n">
        <v>50</v>
      </c>
      <c r="H18" s="56" t="n">
        <f aca="false">D18/$B$5*100</f>
        <v>96.6777408637874</v>
      </c>
      <c r="I18" s="56" t="n">
        <f aca="false">E18/$D$5*100</f>
        <v>93.2038834951456</v>
      </c>
      <c r="J18" s="56" t="n">
        <f aca="false">F18/$F$5*100</f>
        <v>90.1098901098901</v>
      </c>
      <c r="K18" s="56" t="n">
        <f aca="false">G18/$H$5*100</f>
        <v>65.7894736842105</v>
      </c>
      <c r="L18" s="56" t="n">
        <f aca="false">H18*$B$6+I18*$D$6+J18*$F$6+K18*$H$6</f>
        <v>91.0594939160256</v>
      </c>
      <c r="M18" s="47" t="n">
        <f aca="false">L18/100*5</f>
        <v>4.55297469580128</v>
      </c>
      <c r="N18" s="57" t="s">
        <v>173</v>
      </c>
    </row>
    <row r="19" customFormat="false" ht="15" hidden="false" customHeight="true" outlineLevel="0" collapsed="false">
      <c r="A19" s="55" t="s">
        <v>102</v>
      </c>
      <c r="B19" s="34" t="s">
        <v>29</v>
      </c>
      <c r="C19" s="18" t="s">
        <v>23</v>
      </c>
      <c r="D19" s="55" t="n">
        <v>1480</v>
      </c>
      <c r="E19" s="55" t="n">
        <v>1495</v>
      </c>
      <c r="F19" s="55" t="n">
        <v>88</v>
      </c>
      <c r="G19" s="55" t="n">
        <v>70</v>
      </c>
      <c r="H19" s="56" t="n">
        <f aca="false">D19/$B$5*100</f>
        <v>98.3388704318937</v>
      </c>
      <c r="I19" s="56" t="n">
        <f aca="false">E19/$D$5*100</f>
        <v>96.7637540453075</v>
      </c>
      <c r="J19" s="56" t="n">
        <f aca="false">F19/$F$5*100</f>
        <v>96.7032967032967</v>
      </c>
      <c r="K19" s="56" t="n">
        <f aca="false">G19/$H$5*100</f>
        <v>92.1052631578947</v>
      </c>
      <c r="L19" s="56" t="n">
        <f aca="false">H19*$B$6+I19*$D$6+J19*$F$6+K19*$H$6</f>
        <v>96.8371042234692</v>
      </c>
      <c r="M19" s="47" t="n">
        <f aca="false">L19/100*5</f>
        <v>4.84185521117346</v>
      </c>
      <c r="N19" s="57" t="s">
        <v>173</v>
      </c>
    </row>
    <row r="21" customFormat="false" ht="15" hidden="false" customHeight="true" outlineLevel="0" collapsed="false">
      <c r="A21" s="4" t="s">
        <v>104</v>
      </c>
    </row>
    <row r="22" customFormat="false" ht="15" hidden="false" customHeight="true" outlineLevel="0" collapsed="false">
      <c r="A22" s="33" t="s">
        <v>174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</row>
    <row r="23" customFormat="false" ht="15" hidden="false" customHeight="true" outlineLevel="0" collapsed="false">
      <c r="A23" s="33" t="s">
        <v>175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</row>
    <row r="24" customFormat="false" ht="15" hidden="false" customHeight="true" outlineLevel="0" collapsed="false">
      <c r="A24" s="33" t="s">
        <v>176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</row>
    <row r="25" customFormat="false" ht="15" hidden="false" customHeight="true" outlineLevel="0" collapsed="false">
      <c r="A25" s="33" t="s">
        <v>177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</row>
  </sheetData>
  <mergeCells count="7">
    <mergeCell ref="A1:N1"/>
    <mergeCell ref="A2:N2"/>
    <mergeCell ref="A4:N4"/>
    <mergeCell ref="A22:N22"/>
    <mergeCell ref="A23:N23"/>
    <mergeCell ref="A24:N24"/>
    <mergeCell ref="A25:N25"/>
  </mergeCells>
  <conditionalFormatting sqref="M9:M19">
    <cfRule type="colorScale" priority="2">
      <colorScale>
        <cfvo type="num" val="0"/>
        <cfvo type="num" val="2.5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6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6" min="5" style="1" width="9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3" min="12" style="1" width="14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33" t="s">
        <v>179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4" customFormat="false" ht="15" hidden="false" customHeight="true" outlineLevel="0" collapsed="false">
      <c r="A4" s="50" t="s">
        <v>180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</row>
    <row r="5" customFormat="false" ht="15" hidden="false" customHeight="true" outlineLevel="0" collapsed="false">
      <c r="A5" s="4" t="s">
        <v>181</v>
      </c>
      <c r="B5" s="58" t="n">
        <v>3</v>
      </c>
      <c r="D5" s="4" t="s">
        <v>182</v>
      </c>
      <c r="E5" s="59" t="n">
        <v>1.4</v>
      </c>
    </row>
    <row r="6" customFormat="false" ht="15" hidden="false" customHeight="true" outlineLevel="0" collapsed="false">
      <c r="A6" s="4" t="s">
        <v>183</v>
      </c>
      <c r="B6" s="58" t="n">
        <v>1.5</v>
      </c>
      <c r="D6" s="4" t="s">
        <v>184</v>
      </c>
      <c r="E6" s="33" t="s">
        <v>185</v>
      </c>
      <c r="F6" s="33"/>
      <c r="G6" s="33"/>
      <c r="H6" s="33"/>
      <c r="I6" s="33"/>
      <c r="J6" s="33"/>
      <c r="K6" s="33"/>
      <c r="L6" s="33"/>
      <c r="M6" s="33"/>
    </row>
    <row r="7" customFormat="false" ht="15" hidden="false" customHeight="true" outlineLevel="0" collapsed="false">
      <c r="A7" s="4" t="s">
        <v>186</v>
      </c>
      <c r="B7" s="59" t="n">
        <v>0.6</v>
      </c>
    </row>
    <row r="9" customFormat="false" ht="31.5" hidden="false" customHeight="true" outlineLevel="0" collapsed="false">
      <c r="A9" s="6" t="s">
        <v>68</v>
      </c>
      <c r="B9" s="6" t="s">
        <v>4</v>
      </c>
      <c r="C9" s="6" t="s">
        <v>5</v>
      </c>
      <c r="D9" s="6" t="s">
        <v>7</v>
      </c>
      <c r="E9" s="6" t="s">
        <v>187</v>
      </c>
      <c r="F9" s="6" t="s">
        <v>188</v>
      </c>
      <c r="G9" s="6" t="s">
        <v>15</v>
      </c>
      <c r="H9" s="6" t="s">
        <v>189</v>
      </c>
      <c r="I9" s="6" t="s">
        <v>190</v>
      </c>
      <c r="J9" s="6" t="s">
        <v>191</v>
      </c>
      <c r="K9" s="6" t="s">
        <v>192</v>
      </c>
      <c r="L9" s="6" t="s">
        <v>193</v>
      </c>
      <c r="M9" s="6" t="s">
        <v>194</v>
      </c>
    </row>
    <row r="10" customFormat="false" ht="15" hidden="false" customHeight="true" outlineLevel="0" collapsed="false">
      <c r="A10" s="55" t="s">
        <v>72</v>
      </c>
      <c r="B10" s="34" t="s">
        <v>16</v>
      </c>
      <c r="C10" s="8" t="s">
        <v>17</v>
      </c>
      <c r="D10" s="55" t="s">
        <v>195</v>
      </c>
      <c r="E10" s="55" t="s">
        <v>196</v>
      </c>
      <c r="F10" s="55" t="n">
        <v>1</v>
      </c>
      <c r="G10" s="55" t="n">
        <v>145.5</v>
      </c>
      <c r="H10" s="55" t="n">
        <v>0.7</v>
      </c>
      <c r="I10" s="60" t="n">
        <f aca="false">F10*$B$5*$E$5</f>
        <v>4.2</v>
      </c>
      <c r="J10" s="61" t="n">
        <f aca="false">G10*3600*$B$7</f>
        <v>314280</v>
      </c>
      <c r="K10" s="60" t="n">
        <f aca="false">I10/J10*1000000</f>
        <v>13.3638793432608</v>
      </c>
      <c r="L10" s="55" t="s">
        <v>197</v>
      </c>
      <c r="M10" s="62" t="n">
        <f aca="false">K10</f>
        <v>13.3638793432608</v>
      </c>
    </row>
    <row r="11" customFormat="false" ht="15" hidden="false" customHeight="true" outlineLevel="0" collapsed="false">
      <c r="A11" s="55" t="s">
        <v>76</v>
      </c>
      <c r="B11" s="34" t="s">
        <v>18</v>
      </c>
      <c r="C11" s="17" t="s">
        <v>19</v>
      </c>
      <c r="D11" s="55" t="s">
        <v>198</v>
      </c>
      <c r="E11" s="55" t="s">
        <v>197</v>
      </c>
      <c r="F11" s="55" t="s">
        <v>197</v>
      </c>
      <c r="G11" s="55" t="n">
        <v>108.7</v>
      </c>
      <c r="H11" s="55" t="n">
        <v>1.25</v>
      </c>
      <c r="I11" s="55" t="s">
        <v>197</v>
      </c>
      <c r="J11" s="55" t="s">
        <v>197</v>
      </c>
      <c r="K11" s="55" t="s">
        <v>197</v>
      </c>
      <c r="L11" s="60" t="n">
        <v>0.8</v>
      </c>
      <c r="M11" s="62" t="n">
        <f aca="false">L11</f>
        <v>0.8</v>
      </c>
    </row>
    <row r="12" customFormat="false" ht="23.25" hidden="false" customHeight="true" outlineLevel="0" collapsed="false">
      <c r="A12" s="55" t="s">
        <v>79</v>
      </c>
      <c r="B12" s="34" t="s">
        <v>20</v>
      </c>
      <c r="C12" s="17" t="s">
        <v>19</v>
      </c>
      <c r="D12" s="55" t="s">
        <v>195</v>
      </c>
      <c r="E12" s="55" t="s">
        <v>196</v>
      </c>
      <c r="F12" s="55" t="n">
        <v>2</v>
      </c>
      <c r="G12" s="55" t="n">
        <v>90</v>
      </c>
      <c r="H12" s="55" t="n">
        <v>1.5</v>
      </c>
      <c r="I12" s="60" t="n">
        <f aca="false">F12*$B$5*$E$5</f>
        <v>8.4</v>
      </c>
      <c r="J12" s="61" t="n">
        <f aca="false">G12*3600*$B$7</f>
        <v>194400</v>
      </c>
      <c r="K12" s="60" t="n">
        <f aca="false">I12/J12*1000000</f>
        <v>43.2098765432099</v>
      </c>
      <c r="L12" s="55" t="s">
        <v>197</v>
      </c>
      <c r="M12" s="62" t="n">
        <f aca="false">K12</f>
        <v>43.2098765432099</v>
      </c>
    </row>
    <row r="13" customFormat="false" ht="15" hidden="false" customHeight="true" outlineLevel="0" collapsed="false">
      <c r="A13" s="55" t="s">
        <v>83</v>
      </c>
      <c r="B13" s="34" t="s">
        <v>21</v>
      </c>
      <c r="C13" s="17" t="s">
        <v>19</v>
      </c>
      <c r="D13" s="55" t="s">
        <v>195</v>
      </c>
      <c r="E13" s="55" t="s">
        <v>196</v>
      </c>
      <c r="F13" s="55" t="n">
        <v>4</v>
      </c>
      <c r="G13" s="55" t="n">
        <v>113</v>
      </c>
      <c r="H13" s="55" t="n">
        <v>1.03</v>
      </c>
      <c r="I13" s="60" t="n">
        <f aca="false">F13*$B$5*$E$5</f>
        <v>16.8</v>
      </c>
      <c r="J13" s="61" t="n">
        <f aca="false">G13*3600*$B$7</f>
        <v>244080</v>
      </c>
      <c r="K13" s="60" t="n">
        <f aca="false">I13/J13*1000000</f>
        <v>68.8298918387414</v>
      </c>
      <c r="L13" s="55" t="s">
        <v>197</v>
      </c>
      <c r="M13" s="62" t="n">
        <f aca="false">K13</f>
        <v>68.8298918387414</v>
      </c>
    </row>
    <row r="14" customFormat="false" ht="15" hidden="false" customHeight="true" outlineLevel="0" collapsed="false">
      <c r="A14" s="55" t="s">
        <v>86</v>
      </c>
      <c r="B14" s="34" t="s">
        <v>22</v>
      </c>
      <c r="C14" s="18" t="s">
        <v>23</v>
      </c>
      <c r="D14" s="55" t="s">
        <v>198</v>
      </c>
      <c r="E14" s="55" t="s">
        <v>197</v>
      </c>
      <c r="F14" s="55" t="s">
        <v>197</v>
      </c>
      <c r="G14" s="55" t="n">
        <v>116</v>
      </c>
      <c r="H14" s="55" t="n">
        <v>32.09</v>
      </c>
      <c r="I14" s="55" t="s">
        <v>197</v>
      </c>
      <c r="J14" s="55" t="s">
        <v>197</v>
      </c>
      <c r="K14" s="55" t="s">
        <v>197</v>
      </c>
      <c r="L14" s="60" t="n">
        <v>4.5</v>
      </c>
      <c r="M14" s="62" t="n">
        <f aca="false">L14</f>
        <v>4.5</v>
      </c>
    </row>
    <row r="15" customFormat="false" ht="15" hidden="false" customHeight="true" outlineLevel="0" collapsed="false">
      <c r="A15" s="55" t="s">
        <v>89</v>
      </c>
      <c r="B15" s="34" t="s">
        <v>24</v>
      </c>
      <c r="C15" s="18" t="s">
        <v>23</v>
      </c>
      <c r="D15" s="55" t="s">
        <v>198</v>
      </c>
      <c r="E15" s="55" t="s">
        <v>197</v>
      </c>
      <c r="F15" s="55" t="s">
        <v>197</v>
      </c>
      <c r="G15" s="55" t="n">
        <v>84</v>
      </c>
      <c r="H15" s="55" t="n">
        <v>196.15</v>
      </c>
      <c r="I15" s="55" t="s">
        <v>197</v>
      </c>
      <c r="J15" s="55" t="s">
        <v>197</v>
      </c>
      <c r="K15" s="55" t="s">
        <v>197</v>
      </c>
      <c r="L15" s="60" t="n">
        <v>5.63</v>
      </c>
      <c r="M15" s="62" t="n">
        <f aca="false">L15</f>
        <v>5.63</v>
      </c>
    </row>
    <row r="16" customFormat="false" ht="15" hidden="false" customHeight="true" outlineLevel="0" collapsed="false">
      <c r="A16" s="55" t="s">
        <v>92</v>
      </c>
      <c r="B16" s="34" t="s">
        <v>25</v>
      </c>
      <c r="C16" s="18" t="s">
        <v>23</v>
      </c>
      <c r="D16" s="55" t="s">
        <v>198</v>
      </c>
      <c r="E16" s="55" t="s">
        <v>197</v>
      </c>
      <c r="F16" s="55" t="s">
        <v>197</v>
      </c>
      <c r="G16" s="55" t="n">
        <v>49</v>
      </c>
      <c r="H16" s="55" t="n">
        <v>19.98</v>
      </c>
      <c r="I16" s="55" t="s">
        <v>197</v>
      </c>
      <c r="J16" s="55" t="s">
        <v>197</v>
      </c>
      <c r="K16" s="55" t="s">
        <v>197</v>
      </c>
      <c r="L16" s="60" t="n">
        <v>10</v>
      </c>
      <c r="M16" s="62" t="n">
        <f aca="false">L16</f>
        <v>10</v>
      </c>
    </row>
    <row r="17" customFormat="false" ht="23.25" hidden="false" customHeight="true" outlineLevel="0" collapsed="false">
      <c r="A17" s="55" t="s">
        <v>95</v>
      </c>
      <c r="B17" s="34" t="s">
        <v>26</v>
      </c>
      <c r="C17" s="18" t="s">
        <v>23</v>
      </c>
      <c r="D17" s="55" t="s">
        <v>198</v>
      </c>
      <c r="E17" s="55" t="s">
        <v>197</v>
      </c>
      <c r="F17" s="55" t="s">
        <v>197</v>
      </c>
      <c r="G17" s="55" t="n">
        <v>50</v>
      </c>
      <c r="H17" s="55" t="n">
        <v>2.33</v>
      </c>
      <c r="I17" s="55" t="s">
        <v>197</v>
      </c>
      <c r="J17" s="55" t="s">
        <v>197</v>
      </c>
      <c r="K17" s="55" t="s">
        <v>197</v>
      </c>
      <c r="L17" s="60" t="n">
        <v>1.13</v>
      </c>
      <c r="M17" s="62" t="n">
        <f aca="false">L17</f>
        <v>1.13</v>
      </c>
    </row>
    <row r="18" customFormat="false" ht="15" hidden="false" customHeight="true" outlineLevel="0" collapsed="false">
      <c r="A18" s="55" t="s">
        <v>98</v>
      </c>
      <c r="B18" s="34" t="s">
        <v>27</v>
      </c>
      <c r="C18" s="18" t="s">
        <v>23</v>
      </c>
      <c r="D18" s="55" t="s">
        <v>198</v>
      </c>
      <c r="E18" s="55" t="s">
        <v>197</v>
      </c>
      <c r="F18" s="55" t="s">
        <v>197</v>
      </c>
      <c r="G18" s="55" t="n">
        <v>49</v>
      </c>
      <c r="H18" s="55" t="n">
        <v>1.63</v>
      </c>
      <c r="I18" s="55" t="s">
        <v>197</v>
      </c>
      <c r="J18" s="55" t="s">
        <v>197</v>
      </c>
      <c r="K18" s="55" t="s">
        <v>197</v>
      </c>
      <c r="L18" s="60" t="n">
        <v>0.32</v>
      </c>
      <c r="M18" s="62" t="n">
        <f aca="false">L18</f>
        <v>0.32</v>
      </c>
    </row>
    <row r="19" customFormat="false" ht="15" hidden="false" customHeight="true" outlineLevel="0" collapsed="false">
      <c r="A19" s="55" t="s">
        <v>100</v>
      </c>
      <c r="B19" s="34" t="s">
        <v>28</v>
      </c>
      <c r="C19" s="18" t="s">
        <v>23</v>
      </c>
      <c r="D19" s="55" t="s">
        <v>195</v>
      </c>
      <c r="E19" s="55" t="s">
        <v>196</v>
      </c>
      <c r="F19" s="55" t="n">
        <v>4</v>
      </c>
      <c r="G19" s="55" t="n">
        <v>80</v>
      </c>
      <c r="H19" s="55" t="n">
        <v>1.2</v>
      </c>
      <c r="I19" s="60" t="n">
        <f aca="false">F19*$B$5*$E$5</f>
        <v>16.8</v>
      </c>
      <c r="J19" s="61" t="n">
        <f aca="false">G19*3600*$B$7</f>
        <v>172800</v>
      </c>
      <c r="K19" s="60" t="n">
        <f aca="false">I19/J19*1000000</f>
        <v>97.2222222222222</v>
      </c>
      <c r="L19" s="55" t="s">
        <v>197</v>
      </c>
      <c r="M19" s="62" t="n">
        <f aca="false">K19</f>
        <v>97.2222222222222</v>
      </c>
    </row>
    <row r="20" customFormat="false" ht="15" hidden="false" customHeight="true" outlineLevel="0" collapsed="false">
      <c r="A20" s="55" t="s">
        <v>102</v>
      </c>
      <c r="B20" s="34" t="s">
        <v>29</v>
      </c>
      <c r="C20" s="18" t="s">
        <v>23</v>
      </c>
      <c r="D20" s="55" t="s">
        <v>195</v>
      </c>
      <c r="E20" s="55" t="s">
        <v>196</v>
      </c>
      <c r="F20" s="55" t="n">
        <v>8</v>
      </c>
      <c r="G20" s="55" t="n">
        <v>60</v>
      </c>
      <c r="H20" s="55" t="n">
        <v>2</v>
      </c>
      <c r="I20" s="60" t="n">
        <f aca="false">F20*$B$5*$E$5</f>
        <v>33.6</v>
      </c>
      <c r="J20" s="61" t="n">
        <f aca="false">G20*3600*$B$7</f>
        <v>129600</v>
      </c>
      <c r="K20" s="60" t="n">
        <f aca="false">I20/J20*1000000</f>
        <v>259.259259259259</v>
      </c>
      <c r="L20" s="55" t="s">
        <v>197</v>
      </c>
      <c r="M20" s="62" t="n">
        <f aca="false">K20</f>
        <v>259.259259259259</v>
      </c>
    </row>
    <row r="22" customFormat="false" ht="15" hidden="false" customHeight="true" outlineLevel="0" collapsed="false">
      <c r="A22" s="4" t="s">
        <v>104</v>
      </c>
    </row>
    <row r="23" customFormat="false" ht="15" hidden="false" customHeight="true" outlineLevel="0" collapsed="false">
      <c r="A23" s="33" t="s">
        <v>199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customFormat="false" ht="15" hidden="false" customHeight="true" outlineLevel="0" collapsed="false">
      <c r="A24" s="33" t="s">
        <v>200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</row>
    <row r="25" customFormat="false" ht="15" hidden="false" customHeight="true" outlineLevel="0" collapsed="false">
      <c r="A25" s="33" t="s">
        <v>201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</row>
    <row r="26" customFormat="false" ht="15" hidden="false" customHeight="true" outlineLevel="0" collapsed="false">
      <c r="A26" s="33" t="s">
        <v>202</v>
      </c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</row>
  </sheetData>
  <mergeCells count="8">
    <mergeCell ref="A1:M1"/>
    <mergeCell ref="A2:M2"/>
    <mergeCell ref="A4:M4"/>
    <mergeCell ref="E6:M6"/>
    <mergeCell ref="A23:M23"/>
    <mergeCell ref="A24:M24"/>
    <mergeCell ref="A25:M25"/>
    <mergeCell ref="A26:M26"/>
  </mergeCells>
  <conditionalFormatting sqref="M10:M2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60"/>
  </cols>
  <sheetData>
    <row r="1" customFormat="false" ht="17.25" hidden="false" customHeight="true" outlineLevel="0" collapsed="false">
      <c r="A1" s="2" t="s">
        <v>203</v>
      </c>
      <c r="B1" s="2"/>
      <c r="C1" s="2"/>
      <c r="D1" s="2"/>
      <c r="E1" s="2"/>
    </row>
    <row r="2" customFormat="false" ht="15" hidden="false" customHeight="true" outlineLevel="0" collapsed="false">
      <c r="A2" s="33" t="s">
        <v>204</v>
      </c>
      <c r="B2" s="33"/>
      <c r="C2" s="33"/>
      <c r="D2" s="33"/>
      <c r="E2" s="33"/>
    </row>
    <row r="4" customFormat="false" ht="26.25" hidden="false" customHeight="true" outlineLevel="0" collapsed="false">
      <c r="A4" s="6" t="s">
        <v>205</v>
      </c>
      <c r="B4" s="6" t="s">
        <v>206</v>
      </c>
      <c r="C4" s="6" t="s">
        <v>207</v>
      </c>
      <c r="D4" s="6" t="s">
        <v>208</v>
      </c>
      <c r="E4" s="6" t="s">
        <v>209</v>
      </c>
    </row>
    <row r="5" customFormat="false" ht="37.5" hidden="false" customHeight="true" outlineLevel="0" collapsed="false">
      <c r="A5" s="63" t="s">
        <v>31</v>
      </c>
      <c r="B5" s="64" t="s">
        <v>32</v>
      </c>
      <c r="C5" s="65" t="n">
        <v>0.2</v>
      </c>
      <c r="D5" s="65" t="n">
        <v>0.8</v>
      </c>
      <c r="E5" s="66" t="s">
        <v>210</v>
      </c>
    </row>
    <row r="6" customFormat="false" ht="37.5" hidden="false" customHeight="true" outlineLevel="0" collapsed="false">
      <c r="A6" s="67" t="s">
        <v>34</v>
      </c>
      <c r="B6" s="68" t="s">
        <v>35</v>
      </c>
      <c r="C6" s="69" t="n">
        <v>0.35</v>
      </c>
      <c r="D6" s="69" t="n">
        <v>0.65</v>
      </c>
      <c r="E6" s="70" t="s">
        <v>211</v>
      </c>
    </row>
    <row r="7" customFormat="false" ht="37.5" hidden="false" customHeight="true" outlineLevel="0" collapsed="false">
      <c r="A7" s="71" t="s">
        <v>37</v>
      </c>
      <c r="B7" s="72" t="s">
        <v>38</v>
      </c>
      <c r="C7" s="73" t="n">
        <v>0.55</v>
      </c>
      <c r="D7" s="73" t="n">
        <v>0.45</v>
      </c>
      <c r="E7" s="74" t="s">
        <v>212</v>
      </c>
    </row>
    <row r="8" customFormat="false" ht="37.5" hidden="false" customHeight="true" outlineLevel="0" collapsed="false">
      <c r="A8" s="75" t="s">
        <v>40</v>
      </c>
      <c r="B8" s="76" t="s">
        <v>41</v>
      </c>
      <c r="C8" s="77" t="n">
        <v>0.75</v>
      </c>
      <c r="D8" s="77" t="n">
        <v>0.25</v>
      </c>
      <c r="E8" s="78" t="s">
        <v>213</v>
      </c>
    </row>
    <row r="10" customFormat="false" ht="15" hidden="false" customHeight="true" outlineLevel="0" collapsed="false">
      <c r="B10" s="79" t="s">
        <v>214</v>
      </c>
      <c r="C10" s="80" t="n">
        <f aca="false">C5+D5</f>
        <v>1</v>
      </c>
      <c r="D10" s="80" t="n">
        <f aca="false">C6+D6</f>
        <v>1</v>
      </c>
      <c r="E10" s="80" t="n">
        <f aca="false">C7+D7</f>
        <v>1</v>
      </c>
      <c r="F10" s="80" t="n">
        <f aca="false">C8+D8</f>
        <v>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6"/>
    <col collapsed="false" customWidth="true" hidden="false" outlineLevel="0" max="3" min="3" style="1" width="11"/>
    <col collapsed="false" customWidth="true" hidden="false" outlineLevel="0" max="5" min="4" style="1" width="10"/>
    <col collapsed="false" customWidth="true" hidden="false" outlineLevel="0" max="9" min="6" style="1" width="13"/>
  </cols>
  <sheetData>
    <row r="1" customFormat="false" ht="17.25" hidden="false" customHeight="true" outlineLevel="0" collapsed="false">
      <c r="A1" s="2" t="s">
        <v>215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3" t="s">
        <v>216</v>
      </c>
      <c r="B2" s="33"/>
      <c r="C2" s="33"/>
      <c r="D2" s="33"/>
      <c r="E2" s="33"/>
      <c r="F2" s="33"/>
      <c r="G2" s="33"/>
      <c r="H2" s="33"/>
      <c r="I2" s="33"/>
    </row>
    <row r="4" customFormat="false" ht="23.25" hidden="false" customHeight="true" outlineLevel="0" collapsed="false">
      <c r="A4" s="4" t="s">
        <v>217</v>
      </c>
      <c r="D4" s="81" t="s">
        <v>218</v>
      </c>
      <c r="E4" s="81"/>
      <c r="F4" s="82" t="s">
        <v>219</v>
      </c>
      <c r="G4" s="82"/>
      <c r="H4" s="83" t="s">
        <v>220</v>
      </c>
      <c r="I4" s="83"/>
      <c r="J4" s="84" t="s">
        <v>221</v>
      </c>
      <c r="K4" s="84"/>
    </row>
    <row r="5" customFormat="false" ht="15" hidden="false" customHeight="true" outlineLevel="0" collapsed="false">
      <c r="A5" s="79" t="s">
        <v>222</v>
      </c>
      <c r="D5" s="85" t="n">
        <f aca="false">'05_Profils_Ponderation'!C5</f>
        <v>0.2</v>
      </c>
      <c r="E5" s="85" t="n">
        <f aca="false">'05_Profils_Ponderation'!D5</f>
        <v>0.8</v>
      </c>
      <c r="F5" s="85" t="n">
        <f aca="false">'05_Profils_Ponderation'!C6</f>
        <v>0.35</v>
      </c>
      <c r="G5" s="85" t="n">
        <f aca="false">'05_Profils_Ponderation'!D6</f>
        <v>0.65</v>
      </c>
      <c r="H5" s="85" t="n">
        <f aca="false">'05_Profils_Ponderation'!C7</f>
        <v>0.55</v>
      </c>
      <c r="I5" s="85" t="n">
        <f aca="false">'05_Profils_Ponderation'!D7</f>
        <v>0.45</v>
      </c>
      <c r="J5" s="85" t="n">
        <f aca="false">'05_Profils_Ponderation'!C8</f>
        <v>0.75</v>
      </c>
      <c r="K5" s="85" t="n">
        <f aca="false">'05_Profils_Ponderation'!D8</f>
        <v>0.25</v>
      </c>
    </row>
    <row r="7" customFormat="false" ht="26.25" hidden="false" customHeight="true" outlineLevel="0" collapsed="false">
      <c r="A7" s="6" t="s">
        <v>68</v>
      </c>
      <c r="B7" s="6" t="s">
        <v>4</v>
      </c>
      <c r="C7" s="6" t="s">
        <v>5</v>
      </c>
      <c r="D7" s="6" t="s">
        <v>8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</row>
    <row r="8" customFormat="false" ht="15" hidden="false" customHeight="true" outlineLevel="0" collapsed="false">
      <c r="A8" s="55" t="s">
        <v>72</v>
      </c>
      <c r="B8" s="34" t="s">
        <v>16</v>
      </c>
      <c r="C8" s="8" t="s">
        <v>17</v>
      </c>
      <c r="D8" s="10" t="n">
        <f aca="false">'02_IRN_Detail'!R7</f>
        <v>4.77011494252874</v>
      </c>
      <c r="E8" s="10" t="n">
        <f aca="false">'03_Performance'!M9</f>
        <v>3.81132254059433</v>
      </c>
      <c r="F8" s="11" t="n">
        <f aca="false">$D$5*D8+$E$5*E8</f>
        <v>4.00308102098121</v>
      </c>
      <c r="G8" s="12" t="n">
        <f aca="false">$F$5*D8+$G$5*E8</f>
        <v>4.14689988127137</v>
      </c>
      <c r="H8" s="13" t="n">
        <f aca="false">$H$5*D8+$I$5*E8</f>
        <v>4.33865836165825</v>
      </c>
      <c r="I8" s="14" t="n">
        <f aca="false">$J$5*D8+$K$5*E8</f>
        <v>4.53041684204513</v>
      </c>
    </row>
    <row r="9" customFormat="false" ht="15" hidden="false" customHeight="true" outlineLevel="0" collapsed="false">
      <c r="A9" s="55" t="s">
        <v>76</v>
      </c>
      <c r="B9" s="34" t="s">
        <v>18</v>
      </c>
      <c r="C9" s="17" t="s">
        <v>19</v>
      </c>
      <c r="D9" s="10" t="n">
        <f aca="false">'02_IRN_Detail'!R8</f>
        <v>3.41379310344828</v>
      </c>
      <c r="E9" s="10" t="n">
        <f aca="false">'03_Performance'!M10</f>
        <v>4.32677416660257</v>
      </c>
      <c r="F9" s="11" t="n">
        <f aca="false">$D$5*D9+$E$5*E9</f>
        <v>4.14417795397171</v>
      </c>
      <c r="G9" s="12" t="n">
        <f aca="false">$F$5*D9+$G$5*E9</f>
        <v>4.00723079449857</v>
      </c>
      <c r="H9" s="13" t="n">
        <f aca="false">$H$5*D9+$I$5*E9</f>
        <v>3.82463458186771</v>
      </c>
      <c r="I9" s="14" t="n">
        <f aca="false">$J$5*D9+$K$5*E9</f>
        <v>3.64203836923685</v>
      </c>
    </row>
    <row r="10" customFormat="false" ht="23.25" hidden="false" customHeight="true" outlineLevel="0" collapsed="false">
      <c r="A10" s="55" t="s">
        <v>79</v>
      </c>
      <c r="B10" s="34" t="s">
        <v>20</v>
      </c>
      <c r="C10" s="17" t="s">
        <v>19</v>
      </c>
      <c r="D10" s="10" t="n">
        <f aca="false">'02_IRN_Detail'!R9</f>
        <v>4.44827586206897</v>
      </c>
      <c r="E10" s="10" t="n">
        <f aca="false">'03_Performance'!M11</f>
        <v>4.24515170879593</v>
      </c>
      <c r="F10" s="11" t="n">
        <f aca="false">$D$5*D10+$E$5*E10</f>
        <v>4.28577653945054</v>
      </c>
      <c r="G10" s="12" t="n">
        <f aca="false">$F$5*D10+$G$5*E10</f>
        <v>4.31624516244149</v>
      </c>
      <c r="H10" s="13" t="n">
        <f aca="false">$H$5*D10+$I$5*E10</f>
        <v>4.3568699930961</v>
      </c>
      <c r="I10" s="14" t="n">
        <f aca="false">$J$5*D10+$K$5*E10</f>
        <v>4.39749482375071</v>
      </c>
    </row>
    <row r="11" customFormat="false" ht="15" hidden="false" customHeight="true" outlineLevel="0" collapsed="false">
      <c r="A11" s="55" t="s">
        <v>83</v>
      </c>
      <c r="B11" s="34" t="s">
        <v>21</v>
      </c>
      <c r="C11" s="17" t="s">
        <v>19</v>
      </c>
      <c r="D11" s="10" t="n">
        <f aca="false">'02_IRN_Detail'!R10</f>
        <v>3.68965517241379</v>
      </c>
      <c r="E11" s="10" t="n">
        <f aca="false">'03_Performance'!M12</f>
        <v>4.140578607538</v>
      </c>
      <c r="F11" s="11" t="n">
        <f aca="false">$D$5*D11+$E$5*E11</f>
        <v>4.05039392051316</v>
      </c>
      <c r="G11" s="12" t="n">
        <f aca="false">$F$5*D11+$G$5*E11</f>
        <v>3.98275540524453</v>
      </c>
      <c r="H11" s="13" t="n">
        <f aca="false">$H$5*D11+$I$5*E11</f>
        <v>3.89257071821969</v>
      </c>
      <c r="I11" s="14" t="n">
        <f aca="false">$J$5*D11+$K$5*E11</f>
        <v>3.80238603119485</v>
      </c>
    </row>
    <row r="12" customFormat="false" ht="15" hidden="false" customHeight="true" outlineLevel="0" collapsed="false">
      <c r="A12" s="55" t="s">
        <v>86</v>
      </c>
      <c r="B12" s="34" t="s">
        <v>22</v>
      </c>
      <c r="C12" s="18" t="s">
        <v>23</v>
      </c>
      <c r="D12" s="10" t="n">
        <f aca="false">'02_IRN_Detail'!R11</f>
        <v>2.70114942528736</v>
      </c>
      <c r="E12" s="10" t="n">
        <f aca="false">'03_Performance'!M13</f>
        <v>4.98414239482201</v>
      </c>
      <c r="F12" s="11" t="n">
        <f aca="false">$D$5*D12+$E$5*E12</f>
        <v>4.52754380091508</v>
      </c>
      <c r="G12" s="12" t="n">
        <f aca="false">$F$5*D12+$G$5*E12</f>
        <v>4.18509485548488</v>
      </c>
      <c r="H12" s="13" t="n">
        <f aca="false">$H$5*D12+$I$5*E12</f>
        <v>3.72849626157795</v>
      </c>
      <c r="I12" s="14" t="n">
        <f aca="false">$J$5*D12+$K$5*E12</f>
        <v>3.27189766767102</v>
      </c>
    </row>
    <row r="13" customFormat="false" ht="15" hidden="false" customHeight="true" outlineLevel="0" collapsed="false">
      <c r="A13" s="55" t="s">
        <v>89</v>
      </c>
      <c r="B13" s="34" t="s">
        <v>24</v>
      </c>
      <c r="C13" s="18" t="s">
        <v>23</v>
      </c>
      <c r="D13" s="10" t="n">
        <f aca="false">'02_IRN_Detail'!R12</f>
        <v>2.05172413793103</v>
      </c>
      <c r="E13" s="10" t="n">
        <f aca="false">'03_Performance'!M14</f>
        <v>4.93323392085647</v>
      </c>
      <c r="F13" s="11" t="n">
        <f aca="false">$D$5*D13+$E$5*E13</f>
        <v>4.35693196427138</v>
      </c>
      <c r="G13" s="12" t="n">
        <f aca="false">$F$5*D13+$G$5*E13</f>
        <v>3.92470549683257</v>
      </c>
      <c r="H13" s="13" t="n">
        <f aca="false">$H$5*D13+$I$5*E13</f>
        <v>3.34840354024748</v>
      </c>
      <c r="I13" s="14" t="n">
        <f aca="false">$J$5*D13+$K$5*E13</f>
        <v>2.77210158366239</v>
      </c>
    </row>
    <row r="14" customFormat="false" ht="15" hidden="false" customHeight="true" outlineLevel="0" collapsed="false">
      <c r="A14" s="55" t="s">
        <v>92</v>
      </c>
      <c r="B14" s="34" t="s">
        <v>25</v>
      </c>
      <c r="C14" s="18" t="s">
        <v>23</v>
      </c>
      <c r="D14" s="10" t="n">
        <f aca="false">'02_IRN_Detail'!R13</f>
        <v>1.98275862068966</v>
      </c>
      <c r="E14" s="10" t="n">
        <f aca="false">'03_Performance'!M15</f>
        <v>4.96365186221367</v>
      </c>
      <c r="F14" s="11" t="n">
        <f aca="false">$D$5*D14+$E$5*E14</f>
        <v>4.36747321390887</v>
      </c>
      <c r="G14" s="12" t="n">
        <f aca="false">$F$5*D14+$G$5*E14</f>
        <v>3.92033922768027</v>
      </c>
      <c r="H14" s="13" t="n">
        <f aca="false">$H$5*D14+$I$5*E14</f>
        <v>3.32416057937546</v>
      </c>
      <c r="I14" s="14" t="n">
        <f aca="false">$J$5*D14+$K$5*E14</f>
        <v>2.72798193107066</v>
      </c>
    </row>
    <row r="15" customFormat="false" ht="23.25" hidden="false" customHeight="true" outlineLevel="0" collapsed="false">
      <c r="A15" s="55" t="s">
        <v>95</v>
      </c>
      <c r="B15" s="34" t="s">
        <v>26</v>
      </c>
      <c r="C15" s="18" t="s">
        <v>23</v>
      </c>
      <c r="D15" s="10" t="n">
        <f aca="false">'02_IRN_Detail'!R14</f>
        <v>2.6551724137931</v>
      </c>
      <c r="E15" s="10" t="n">
        <f aca="false">'03_Performance'!M16</f>
        <v>4.82111296703993</v>
      </c>
      <c r="F15" s="11" t="n">
        <f aca="false">$D$5*D15+$E$5*E15</f>
        <v>4.38792485639057</v>
      </c>
      <c r="G15" s="12" t="n">
        <f aca="false">$F$5*D15+$G$5*E15</f>
        <v>4.06303377340354</v>
      </c>
      <c r="H15" s="13" t="n">
        <f aca="false">$H$5*D15+$I$5*E15</f>
        <v>3.62984566275418</v>
      </c>
      <c r="I15" s="14" t="n">
        <f aca="false">$J$5*D15+$K$5*E15</f>
        <v>3.19665755210481</v>
      </c>
    </row>
    <row r="16" customFormat="false" ht="15" hidden="false" customHeight="true" outlineLevel="0" collapsed="false">
      <c r="A16" s="55" t="s">
        <v>98</v>
      </c>
      <c r="B16" s="34" t="s">
        <v>27</v>
      </c>
      <c r="C16" s="18" t="s">
        <v>23</v>
      </c>
      <c r="D16" s="10" t="n">
        <f aca="false">'02_IRN_Detail'!R15</f>
        <v>1.64367816091954</v>
      </c>
      <c r="E16" s="10" t="n">
        <f aca="false">'03_Performance'!M17</f>
        <v>4.66375423465832</v>
      </c>
      <c r="F16" s="11" t="n">
        <f aca="false">$D$5*D16+$E$5*E16</f>
        <v>4.05973901991057</v>
      </c>
      <c r="G16" s="12" t="n">
        <f aca="false">$F$5*D16+$G$5*E16</f>
        <v>3.60672760884975</v>
      </c>
      <c r="H16" s="13" t="n">
        <f aca="false">$H$5*D16+$I$5*E16</f>
        <v>3.00271239410199</v>
      </c>
      <c r="I16" s="14" t="n">
        <f aca="false">$J$5*D16+$K$5*E16</f>
        <v>2.39869717935424</v>
      </c>
    </row>
    <row r="17" customFormat="false" ht="15" hidden="false" customHeight="true" outlineLevel="0" collapsed="false">
      <c r="A17" s="55" t="s">
        <v>100</v>
      </c>
      <c r="B17" s="34" t="s">
        <v>28</v>
      </c>
      <c r="C17" s="18" t="s">
        <v>23</v>
      </c>
      <c r="D17" s="10" t="n">
        <f aca="false">'02_IRN_Detail'!R16</f>
        <v>4.63793103448276</v>
      </c>
      <c r="E17" s="10" t="n">
        <f aca="false">'03_Performance'!M18</f>
        <v>4.55297469580128</v>
      </c>
      <c r="F17" s="11" t="n">
        <f aca="false">$D$5*D17+$E$5*E17</f>
        <v>4.56996596353758</v>
      </c>
      <c r="G17" s="12" t="n">
        <f aca="false">$F$5*D17+$G$5*E17</f>
        <v>4.5827094143398</v>
      </c>
      <c r="H17" s="13" t="n">
        <f aca="false">$H$5*D17+$I$5*E17</f>
        <v>4.5997006820761</v>
      </c>
      <c r="I17" s="14" t="n">
        <f aca="false">$J$5*D17+$K$5*E17</f>
        <v>4.61669194981239</v>
      </c>
    </row>
    <row r="18" customFormat="false" ht="15" hidden="false" customHeight="true" outlineLevel="0" collapsed="false">
      <c r="A18" s="55" t="s">
        <v>102</v>
      </c>
      <c r="B18" s="34" t="s">
        <v>29</v>
      </c>
      <c r="C18" s="18" t="s">
        <v>23</v>
      </c>
      <c r="D18" s="10" t="n">
        <f aca="false">'02_IRN_Detail'!R17</f>
        <v>3.63218390804598</v>
      </c>
      <c r="E18" s="10" t="n">
        <f aca="false">'03_Performance'!M19</f>
        <v>4.84185521117346</v>
      </c>
      <c r="F18" s="11" t="n">
        <f aca="false">$D$5*D18+$E$5*E18</f>
        <v>4.59992095054796</v>
      </c>
      <c r="G18" s="12" t="n">
        <f aca="false">$F$5*D18+$G$5*E18</f>
        <v>4.41847025507884</v>
      </c>
      <c r="H18" s="13" t="n">
        <f aca="false">$H$5*D18+$I$5*E18</f>
        <v>4.17653599445335</v>
      </c>
      <c r="I18" s="14" t="n">
        <f aca="false">$J$5*D18+$K$5*E18</f>
        <v>3.93460173382785</v>
      </c>
    </row>
    <row r="21" customFormat="false" ht="15" hidden="false" customHeight="true" outlineLevel="0" collapsed="false">
      <c r="A21" s="4" t="s">
        <v>223</v>
      </c>
    </row>
    <row r="22" customFormat="false" ht="15" hidden="false" customHeight="true" outlineLevel="0" collapsed="false">
      <c r="A22" s="37" t="s">
        <v>224</v>
      </c>
      <c r="B22" s="86"/>
      <c r="C22" s="37" t="s">
        <v>31</v>
      </c>
      <c r="D22" s="37" t="s">
        <v>34</v>
      </c>
      <c r="E22" s="37" t="s">
        <v>37</v>
      </c>
      <c r="F22" s="37" t="s">
        <v>40</v>
      </c>
    </row>
    <row r="23" customFormat="false" ht="45.75" hidden="false" customHeight="true" outlineLevel="0" collapsed="false">
      <c r="A23" s="87" t="n">
        <v>1</v>
      </c>
      <c r="B23" s="88"/>
      <c r="C23" s="66" t="str">
        <f aca="false">INDEX($B$8:$B$18,MATCH(LARGE(F8:F18,1),F8:F18,0))</f>
        <v>Meta Llama 4 Behemoth self-hosted EU</v>
      </c>
      <c r="D23" s="70" t="str">
        <f aca="false">INDEX($B$8:$B$18,MATCH(LARGE(G8:G18,1),G8:G18,0))</f>
        <v>Mistral Large 2 self-hosted EU</v>
      </c>
      <c r="E23" s="74" t="str">
        <f aca="false">INDEX($B$8:$B$18,MATCH(LARGE(H8:H18,1),H8:H18,0))</f>
        <v>Mistral Large 2 self-hosted EU</v>
      </c>
      <c r="F23" s="78" t="str">
        <f aca="false">INDEX($B$8:$B$18,MATCH(LARGE(I8:I18,1),I8:I18,0))</f>
        <v>Mistral Large 2 self-hosted EU</v>
      </c>
    </row>
    <row r="24" customFormat="false" ht="68.25" hidden="false" customHeight="true" outlineLevel="0" collapsed="false">
      <c r="A24" s="87" t="n">
        <v>2</v>
      </c>
      <c r="B24" s="88"/>
      <c r="C24" s="66" t="str">
        <f aca="false">INDEX($B$8:$B$18,MATCH(LARGE(F8:F18,2),F8:F18,0))</f>
        <v>Mistral Large 2 self-hosted EU</v>
      </c>
      <c r="D24" s="70" t="str">
        <f aca="false">INDEX($B$8:$B$18,MATCH(LARGE(G8:G18,2),G8:G18,0))</f>
        <v>Meta Llama 4 Behemoth self-hosted EU</v>
      </c>
      <c r="E24" s="74" t="str">
        <f aca="false">INDEX($B$8:$B$18,MATCH(LARGE(H8:H18,2),H8:H18,0))</f>
        <v>Aleph Alpha PhariaAI on-prem (Pharia native)</v>
      </c>
      <c r="F24" s="78" t="str">
        <f aca="false">INDEX($B$8:$B$18,MATCH(LARGE(I8:I18,2),I8:I18,0))</f>
        <v>Mistral Small 3.1 self-hosted EU</v>
      </c>
    </row>
    <row r="25" customFormat="false" ht="68.25" hidden="false" customHeight="true" outlineLevel="0" collapsed="false">
      <c r="A25" s="87" t="n">
        <v>3</v>
      </c>
      <c r="B25" s="88"/>
      <c r="C25" s="66" t="str">
        <f aca="false">INDEX($B$8:$B$18,MATCH(LARGE(F8:F18,3),F8:F18,0))</f>
        <v>Google Gemini 3.1 Pro on Vertex AI EU</v>
      </c>
      <c r="D25" s="70" t="str">
        <f aca="false">INDEX($B$8:$B$18,MATCH(LARGE(G8:G18,3),G8:G18,0))</f>
        <v>Aleph Alpha PhariaAI on-prem (Pharia native)</v>
      </c>
      <c r="E25" s="74" t="str">
        <f aca="false">INDEX($B$8:$B$18,MATCH(LARGE(H8:H18,3),H8:H18,0))</f>
        <v>Mistral Small 3.1 self-hosted EU</v>
      </c>
      <c r="F25" s="78" t="str">
        <f aca="false">INDEX($B$8:$B$18,MATCH(LARGE(I8:I18,3),I8:I18,0))</f>
        <v>Aleph Alpha PhariaAI on-prem (Pharia native)</v>
      </c>
    </row>
    <row r="26" customFormat="false" ht="57" hidden="false" customHeight="true" outlineLevel="0" collapsed="false">
      <c r="A26" s="87" t="n">
        <v>4</v>
      </c>
      <c r="B26" s="88"/>
      <c r="C26" s="66" t="str">
        <f aca="false">INDEX($B$8:$B$18,MATCH(LARGE(F8:F18,4),F8:F18,0))</f>
        <v>Alibaba Qwen3.5-Max via Model Studio FRA</v>
      </c>
      <c r="D26" s="70" t="str">
        <f aca="false">INDEX($B$8:$B$18,MATCH(LARGE(G8:G18,4),G8:G18,0))</f>
        <v>Google Gemini 3.1 Pro on Vertex AI EU</v>
      </c>
      <c r="E26" s="74" t="str">
        <f aca="false">INDEX($B$8:$B$18,MATCH(LARGE(H8:H18,4),H8:H18,0))</f>
        <v>Meta Llama 4 Behemoth self-hosted EU</v>
      </c>
      <c r="F26" s="78" t="str">
        <f aca="false">INDEX($B$8:$B$18,MATCH(LARGE(I8:I18,4),I8:I18,0))</f>
        <v>Meta Llama 4 Behemoth self-hosted EU</v>
      </c>
    </row>
    <row r="27" customFormat="false" ht="57" hidden="false" customHeight="true" outlineLevel="0" collapsed="false">
      <c r="A27" s="87" t="n">
        <v>5</v>
      </c>
      <c r="B27" s="88"/>
      <c r="C27" s="66" t="str">
        <f aca="false">INDEX($B$8:$B$18,MATCH(LARGE(F8:F18,5),F8:F18,0))</f>
        <v>Anthropic Claude Opus 4.6 (API directe)</v>
      </c>
      <c r="D27" s="70" t="str">
        <f aca="false">INDEX($B$8:$B$18,MATCH(LARGE(G8:G18,5),G8:G18,0))</f>
        <v>Mistral Small 3.1 self-hosted EU</v>
      </c>
      <c r="E27" s="74" t="str">
        <f aca="false">INDEX($B$8:$B$18,MATCH(LARGE(H8:H18,5),H8:H18,0))</f>
        <v>Meta Llama 4 Maverick self-hosted EU</v>
      </c>
      <c r="F27" s="78" t="str">
        <f aca="false">INDEX($B$8:$B$18,MATCH(LARGE(I8:I18,5),I8:I18,0))</f>
        <v>Meta Llama 4 Maverick self-hosted EU</v>
      </c>
    </row>
    <row r="28" customFormat="false" ht="57" hidden="false" customHeight="true" outlineLevel="0" collapsed="false">
      <c r="A28" s="87" t="n">
        <v>6</v>
      </c>
      <c r="B28" s="88"/>
      <c r="C28" s="66" t="str">
        <f aca="false">INDEX($B$8:$B$18,MATCH(LARGE(F8:F18,6),F8:F18,0))</f>
        <v>OpenAI GPT-5.4-high (résidence UE)</v>
      </c>
      <c r="D28" s="70" t="str">
        <f aca="false">INDEX($B$8:$B$18,MATCH(LARGE(G8:G18,6),G8:G18,0))</f>
        <v>Alibaba Qwen3.5-Max via Model Studio FRA</v>
      </c>
      <c r="E28" s="74" t="str">
        <f aca="false">INDEX($B$8:$B$18,MATCH(LARGE(H8:H18,6),H8:H18,0))</f>
        <v>Mistral Medium 3.1 via AI Studio EU</v>
      </c>
      <c r="F28" s="78" t="str">
        <f aca="false">INDEX($B$8:$B$18,MATCH(LARGE(I8:I18,6),I8:I18,0))</f>
        <v>Mistral Medium 3.1 via AI Studio EU</v>
      </c>
    </row>
    <row r="29" customFormat="false" ht="57" hidden="false" customHeight="true" outlineLevel="0" collapsed="false">
      <c r="A29" s="87" t="n">
        <v>7</v>
      </c>
      <c r="B29" s="88"/>
      <c r="C29" s="66" t="str">
        <f aca="false">INDEX($B$8:$B$18,MATCH(LARGE(F8:F18,7),F8:F18,0))</f>
        <v>Aleph Alpha PhariaAI on-prem (Pharia native)</v>
      </c>
      <c r="D29" s="70" t="str">
        <f aca="false">INDEX($B$8:$B$18,MATCH(LARGE(G8:G18,7),G8:G18,0))</f>
        <v>Mistral Medium 3.1 via AI Studio EU</v>
      </c>
      <c r="E29" s="74" t="str">
        <f aca="false">INDEX($B$8:$B$18,MATCH(LARGE(H8:H18,7),H8:H18,0))</f>
        <v>Google Gemini 3.1 Pro on Vertex AI EU</v>
      </c>
      <c r="F29" s="78" t="str">
        <f aca="false">INDEX($B$8:$B$18,MATCH(LARGE(I8:I18,7),I8:I18,0))</f>
        <v>Google Gemini 3.1 Pro on Vertex AI EU</v>
      </c>
    </row>
    <row r="30" customFormat="false" ht="57" hidden="false" customHeight="true" outlineLevel="0" collapsed="false">
      <c r="A30" s="87" t="n">
        <v>8</v>
      </c>
      <c r="B30" s="88"/>
      <c r="C30" s="66" t="str">
        <f aca="false">INDEX($B$8:$B$18,MATCH(LARGE(F8:F18,8),F8:F18,0))</f>
        <v>Mistral Medium 3.1 via AI Studio EU</v>
      </c>
      <c r="D30" s="70" t="str">
        <f aca="false">INDEX($B$8:$B$18,MATCH(LARGE(G8:G18,8),G8:G18,0))</f>
        <v>Meta Llama 4 Maverick self-hosted EU</v>
      </c>
      <c r="E30" s="74" t="str">
        <f aca="false">INDEX($B$8:$B$18,MATCH(LARGE(H8:H18,8),H8:H18,0))</f>
        <v>Alibaba Qwen3.5-Max via Model Studio FRA</v>
      </c>
      <c r="F30" s="78" t="str">
        <f aca="false">INDEX($B$8:$B$18,MATCH(LARGE(I8:I18,8),I8:I18,0))</f>
        <v>Alibaba Qwen3.5-Max via Model Studio FRA</v>
      </c>
    </row>
    <row r="31" customFormat="false" ht="57" hidden="false" customHeight="true" outlineLevel="0" collapsed="false">
      <c r="A31" s="87" t="n">
        <v>9</v>
      </c>
      <c r="B31" s="88"/>
      <c r="C31" s="66" t="str">
        <f aca="false">INDEX($B$8:$B$18,MATCH(LARGE(F8:F18,9),F8:F18,0))</f>
        <v>DeepSeek V3.2 Thinking (API directe)</v>
      </c>
      <c r="D31" s="70" t="str">
        <f aca="false">INDEX($B$8:$B$18,MATCH(LARGE(G8:G18,9),G8:G18,0))</f>
        <v>OpenAI GPT-5.4-high (résidence UE)</v>
      </c>
      <c r="E31" s="74" t="str">
        <f aca="false">INDEX($B$8:$B$18,MATCH(LARGE(H8:H18,9),H8:H18,0))</f>
        <v>OpenAI GPT-5.4-high (résidence UE)</v>
      </c>
      <c r="F31" s="78" t="str">
        <f aca="false">INDEX($B$8:$B$18,MATCH(LARGE(I8:I18,9),I8:I18,0))</f>
        <v>OpenAI GPT-5.4-high (résidence UE)</v>
      </c>
    </row>
    <row r="32" customFormat="false" ht="57" hidden="false" customHeight="true" outlineLevel="0" collapsed="false">
      <c r="A32" s="87" t="n">
        <v>10</v>
      </c>
      <c r="B32" s="88"/>
      <c r="C32" s="66" t="str">
        <f aca="false">INDEX($B$8:$B$18,MATCH(LARGE(F8:F18,10),F8:F18,0))</f>
        <v>Meta Llama 4 Maverick self-hosted EU</v>
      </c>
      <c r="D32" s="70" t="str">
        <f aca="false">INDEX($B$8:$B$18,MATCH(LARGE(G8:G18,10),G8:G18,0))</f>
        <v>Anthropic Claude Opus 4.6 (API directe)</v>
      </c>
      <c r="E32" s="74" t="str">
        <f aca="false">INDEX($B$8:$B$18,MATCH(LARGE(H8:H18,10),H8:H18,0))</f>
        <v>Anthropic Claude Opus 4.6 (API directe)</v>
      </c>
      <c r="F32" s="78" t="str">
        <f aca="false">INDEX($B$8:$B$18,MATCH(LARGE(I8:I18,10),I8:I18,0))</f>
        <v>Anthropic Claude Opus 4.6 (API directe)</v>
      </c>
    </row>
    <row r="33" customFormat="false" ht="57" hidden="false" customHeight="true" outlineLevel="0" collapsed="false">
      <c r="A33" s="87" t="n">
        <v>11</v>
      </c>
      <c r="B33" s="88"/>
      <c r="C33" s="66" t="str">
        <f aca="false">INDEX($B$8:$B$18,MATCH(LARGE(F8:F18,11),F8:F18,0))</f>
        <v>Mistral Small 3.1 self-hosted EU</v>
      </c>
      <c r="D33" s="70" t="str">
        <f aca="false">INDEX($B$8:$B$18,MATCH(LARGE(G8:G18,11),G8:G18,0))</f>
        <v>DeepSeek V3.2 Thinking (API directe)</v>
      </c>
      <c r="E33" s="74" t="str">
        <f aca="false">INDEX($B$8:$B$18,MATCH(LARGE(H8:H18,11),H8:H18,0))</f>
        <v>DeepSeek V3.2 Thinking (API directe)</v>
      </c>
      <c r="F33" s="78" t="str">
        <f aca="false">INDEX($B$8:$B$18,MATCH(LARGE(I8:I18,11),I8:I18,0))</f>
        <v>DeepSeek V3.2 Thinking (API directe)</v>
      </c>
    </row>
  </sheetData>
  <mergeCells count="6">
    <mergeCell ref="A1:I1"/>
    <mergeCell ref="A2:I2"/>
    <mergeCell ref="D4:E4"/>
    <mergeCell ref="F4:G4"/>
    <mergeCell ref="H4:I4"/>
    <mergeCell ref="J4:K4"/>
  </mergeCells>
  <conditionalFormatting sqref="F8:F1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8:G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:H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8:I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5" min="1" style="1" width="25"/>
  </cols>
  <sheetData>
    <row r="1" customFormat="false" ht="17.25" hidden="false" customHeight="true" outlineLevel="0" collapsed="false">
      <c r="A1" s="2" t="s">
        <v>225</v>
      </c>
      <c r="B1" s="2"/>
      <c r="C1" s="2"/>
      <c r="D1" s="2"/>
      <c r="E1" s="2"/>
    </row>
    <row r="3" customFormat="false" ht="15" hidden="false" customHeight="true" outlineLevel="0" collapsed="false">
      <c r="A3" s="89" t="s">
        <v>226</v>
      </c>
      <c r="B3" s="89"/>
      <c r="C3" s="89"/>
      <c r="D3" s="89"/>
      <c r="E3" s="89"/>
    </row>
    <row r="4" customFormat="false" ht="49.5" hidden="false" customHeight="true" outlineLevel="0" collapsed="false">
      <c r="A4" s="5" t="s">
        <v>227</v>
      </c>
      <c r="B4" s="5"/>
      <c r="C4" s="5"/>
      <c r="D4" s="5"/>
      <c r="E4" s="5"/>
    </row>
    <row r="5" customFormat="false" ht="49.5" hidden="false" customHeight="true" outlineLevel="0" collapsed="false">
      <c r="A5" s="5"/>
      <c r="B5" s="5"/>
      <c r="C5" s="5"/>
      <c r="D5" s="5"/>
      <c r="E5" s="5"/>
    </row>
    <row r="6" customFormat="false" ht="15" hidden="false" customHeight="true" outlineLevel="0" collapsed="false">
      <c r="A6" s="5"/>
      <c r="B6" s="5"/>
      <c r="C6" s="5"/>
      <c r="D6" s="5"/>
      <c r="E6" s="5"/>
    </row>
    <row r="7" customFormat="false" ht="15" hidden="false" customHeight="true" outlineLevel="0" collapsed="false">
      <c r="A7" s="5"/>
      <c r="B7" s="5"/>
      <c r="C7" s="5"/>
      <c r="D7" s="5"/>
      <c r="E7" s="5"/>
    </row>
    <row r="8" customFormat="false" ht="15" hidden="false" customHeight="true" outlineLevel="0" collapsed="false">
      <c r="A8" s="89" t="s">
        <v>228</v>
      </c>
      <c r="B8" s="89"/>
      <c r="C8" s="89"/>
      <c r="D8" s="89"/>
      <c r="E8" s="89"/>
    </row>
    <row r="9" customFormat="false" ht="49.5" hidden="false" customHeight="true" outlineLevel="0" collapsed="false">
      <c r="A9" s="5" t="s">
        <v>227</v>
      </c>
      <c r="B9" s="5"/>
      <c r="C9" s="5"/>
      <c r="D9" s="5"/>
      <c r="E9" s="5"/>
    </row>
    <row r="10" customFormat="false" ht="49.5" hidden="false" customHeight="true" outlineLevel="0" collapsed="false">
      <c r="A10" s="5"/>
      <c r="B10" s="5"/>
      <c r="C10" s="5"/>
      <c r="D10" s="5"/>
      <c r="E10" s="5"/>
    </row>
    <row r="11" customFormat="false" ht="15" hidden="false" customHeight="true" outlineLevel="0" collapsed="false">
      <c r="A11" s="5"/>
      <c r="B11" s="5"/>
      <c r="C11" s="5"/>
      <c r="D11" s="5"/>
      <c r="E11" s="5"/>
    </row>
    <row r="12" customFormat="false" ht="15" hidden="false" customHeight="true" outlineLevel="0" collapsed="false">
      <c r="A12" s="5"/>
      <c r="B12" s="5"/>
      <c r="C12" s="5"/>
      <c r="D12" s="5"/>
      <c r="E12" s="5"/>
    </row>
    <row r="13" customFormat="false" ht="15" hidden="false" customHeight="true" outlineLevel="0" collapsed="false">
      <c r="A13" s="89" t="s">
        <v>229</v>
      </c>
      <c r="B13" s="89"/>
      <c r="C13" s="89"/>
      <c r="D13" s="89"/>
      <c r="E13" s="89"/>
    </row>
    <row r="14" customFormat="false" ht="49.5" hidden="false" customHeight="true" outlineLevel="0" collapsed="false">
      <c r="A14" s="5" t="s">
        <v>230</v>
      </c>
      <c r="B14" s="5"/>
      <c r="C14" s="5"/>
      <c r="D14" s="5"/>
      <c r="E14" s="5"/>
    </row>
    <row r="15" customFormat="false" ht="49.5" hidden="false" customHeight="true" outlineLevel="0" collapsed="false">
      <c r="A15" s="5"/>
      <c r="B15" s="5"/>
      <c r="C15" s="5"/>
      <c r="D15" s="5"/>
      <c r="E15" s="5"/>
    </row>
    <row r="16" customFormat="false" ht="15" hidden="false" customHeight="true" outlineLevel="0" collapsed="false">
      <c r="A16" s="5"/>
      <c r="B16" s="5"/>
      <c r="C16" s="5"/>
      <c r="D16" s="5"/>
      <c r="E16" s="5"/>
    </row>
    <row r="17" customFormat="false" ht="15" hidden="false" customHeight="true" outlineLevel="0" collapsed="false">
      <c r="A17" s="5"/>
      <c r="B17" s="5"/>
      <c r="C17" s="5"/>
      <c r="D17" s="5"/>
      <c r="E17" s="5"/>
    </row>
    <row r="18" customFormat="false" ht="15" hidden="false" customHeight="true" outlineLevel="0" collapsed="false">
      <c r="A18" s="89" t="s">
        <v>231</v>
      </c>
      <c r="B18" s="89"/>
      <c r="C18" s="89"/>
      <c r="D18" s="89"/>
      <c r="E18" s="89"/>
    </row>
    <row r="19" customFormat="false" ht="49.5" hidden="false" customHeight="true" outlineLevel="0" collapsed="false">
      <c r="A19" s="5" t="s">
        <v>232</v>
      </c>
      <c r="B19" s="5"/>
      <c r="C19" s="5"/>
      <c r="D19" s="5"/>
      <c r="E19" s="5"/>
    </row>
    <row r="20" customFormat="false" ht="49.5" hidden="false" customHeight="true" outlineLevel="0" collapsed="false">
      <c r="A20" s="5"/>
      <c r="B20" s="5"/>
      <c r="C20" s="5"/>
      <c r="D20" s="5"/>
      <c r="E20" s="5"/>
    </row>
    <row r="21" customFormat="false" ht="15" hidden="false" customHeight="true" outlineLevel="0" collapsed="false">
      <c r="A21" s="5"/>
      <c r="B21" s="5"/>
      <c r="C21" s="5"/>
      <c r="D21" s="5"/>
      <c r="E21" s="5"/>
    </row>
    <row r="22" customFormat="false" ht="15" hidden="false" customHeight="true" outlineLevel="0" collapsed="false">
      <c r="A22" s="5"/>
      <c r="B22" s="5"/>
      <c r="C22" s="5"/>
      <c r="D22" s="5"/>
      <c r="E22" s="5"/>
    </row>
    <row r="23" customFormat="false" ht="15" hidden="false" customHeight="true" outlineLevel="0" collapsed="false">
      <c r="A23" s="89" t="s">
        <v>233</v>
      </c>
      <c r="B23" s="89"/>
      <c r="C23" s="89"/>
      <c r="D23" s="89"/>
      <c r="E23" s="89"/>
    </row>
    <row r="24" customFormat="false" ht="49.5" hidden="false" customHeight="true" outlineLevel="0" collapsed="false">
      <c r="A24" s="5" t="s">
        <v>234</v>
      </c>
      <c r="B24" s="5"/>
      <c r="C24" s="5"/>
      <c r="D24" s="5"/>
      <c r="E24" s="5"/>
    </row>
    <row r="25" customFormat="false" ht="49.5" hidden="false" customHeight="true" outlineLevel="0" collapsed="false">
      <c r="A25" s="5"/>
      <c r="B25" s="5"/>
      <c r="C25" s="5"/>
      <c r="D25" s="5"/>
      <c r="E25" s="5"/>
    </row>
    <row r="26" customFormat="false" ht="15" hidden="false" customHeight="true" outlineLevel="0" collapsed="false">
      <c r="A26" s="5"/>
      <c r="B26" s="5"/>
      <c r="C26" s="5"/>
      <c r="D26" s="5"/>
      <c r="E26" s="5"/>
    </row>
    <row r="27" customFormat="false" ht="15" hidden="false" customHeight="true" outlineLevel="0" collapsed="false">
      <c r="A27" s="5"/>
      <c r="B27" s="5"/>
      <c r="C27" s="5"/>
      <c r="D27" s="5"/>
      <c r="E27" s="5"/>
    </row>
    <row r="28" customFormat="false" ht="15" hidden="false" customHeight="true" outlineLevel="0" collapsed="false">
      <c r="A28" s="89" t="s">
        <v>235</v>
      </c>
      <c r="B28" s="89"/>
      <c r="C28" s="89"/>
      <c r="D28" s="89"/>
      <c r="E28" s="89"/>
    </row>
    <row r="29" customFormat="false" ht="49.5" hidden="false" customHeight="true" outlineLevel="0" collapsed="false">
      <c r="A29" s="5" t="s">
        <v>236</v>
      </c>
      <c r="B29" s="5"/>
      <c r="C29" s="5"/>
      <c r="D29" s="5"/>
      <c r="E29" s="5"/>
    </row>
    <row r="30" customFormat="false" ht="49.5" hidden="false" customHeight="true" outlineLevel="0" collapsed="false">
      <c r="A30" s="5"/>
      <c r="B30" s="5"/>
      <c r="C30" s="5"/>
      <c r="D30" s="5"/>
      <c r="E30" s="5"/>
    </row>
    <row r="31" customFormat="false" ht="15" hidden="false" customHeight="true" outlineLevel="0" collapsed="false">
      <c r="A31" s="5"/>
      <c r="B31" s="5"/>
      <c r="C31" s="5"/>
      <c r="D31" s="5"/>
      <c r="E31" s="5"/>
    </row>
    <row r="32" customFormat="false" ht="15" hidden="false" customHeight="true" outlineLevel="0" collapsed="false">
      <c r="A32" s="5"/>
      <c r="B32" s="5"/>
      <c r="C32" s="5"/>
      <c r="D32" s="5"/>
      <c r="E32" s="5"/>
    </row>
    <row r="33" customFormat="false" ht="15" hidden="false" customHeight="true" outlineLevel="0" collapsed="false">
      <c r="A33" s="89" t="s">
        <v>237</v>
      </c>
      <c r="B33" s="89"/>
      <c r="C33" s="89"/>
      <c r="D33" s="89"/>
      <c r="E33" s="89"/>
    </row>
    <row r="34" customFormat="false" ht="49.5" hidden="false" customHeight="true" outlineLevel="0" collapsed="false">
      <c r="A34" s="5" t="s">
        <v>238</v>
      </c>
      <c r="B34" s="5"/>
      <c r="C34" s="5"/>
      <c r="D34" s="5"/>
      <c r="E34" s="5"/>
    </row>
    <row r="35" customFormat="false" ht="49.5" hidden="false" customHeight="true" outlineLevel="0" collapsed="false">
      <c r="A35" s="5"/>
      <c r="B35" s="5"/>
      <c r="C35" s="5"/>
      <c r="D35" s="5"/>
      <c r="E35" s="5"/>
    </row>
    <row r="36" customFormat="false" ht="15" hidden="false" customHeight="true" outlineLevel="0" collapsed="false">
      <c r="A36" s="5"/>
      <c r="B36" s="5"/>
      <c r="C36" s="5"/>
      <c r="D36" s="5"/>
      <c r="E36" s="5"/>
    </row>
    <row r="37" customFormat="false" ht="15" hidden="false" customHeight="true" outlineLevel="0" collapsed="false">
      <c r="A37" s="5"/>
      <c r="B37" s="5"/>
      <c r="C37" s="5"/>
      <c r="D37" s="5"/>
      <c r="E37" s="5"/>
    </row>
    <row r="38" customFormat="false" ht="15" hidden="false" customHeight="true" outlineLevel="0" collapsed="false">
      <c r="A38" s="89" t="s">
        <v>239</v>
      </c>
      <c r="B38" s="89"/>
      <c r="C38" s="89"/>
      <c r="D38" s="89"/>
      <c r="E38" s="89"/>
    </row>
    <row r="39" customFormat="false" ht="49.5" hidden="false" customHeight="true" outlineLevel="0" collapsed="false">
      <c r="A39" s="5" t="s">
        <v>240</v>
      </c>
      <c r="B39" s="5"/>
      <c r="C39" s="5"/>
      <c r="D39" s="5"/>
      <c r="E39" s="5"/>
    </row>
    <row r="40" customFormat="false" ht="49.5" hidden="false" customHeight="true" outlineLevel="0" collapsed="false">
      <c r="A40" s="5"/>
      <c r="B40" s="5"/>
      <c r="C40" s="5"/>
      <c r="D40" s="5"/>
      <c r="E40" s="5"/>
    </row>
    <row r="41" customFormat="false" ht="15" hidden="false" customHeight="true" outlineLevel="0" collapsed="false">
      <c r="A41" s="5"/>
      <c r="B41" s="5"/>
      <c r="C41" s="5"/>
      <c r="D41" s="5"/>
      <c r="E41" s="5"/>
    </row>
    <row r="42" customFormat="false" ht="15" hidden="false" customHeight="true" outlineLevel="0" collapsed="false">
      <c r="A42" s="5"/>
      <c r="B42" s="5"/>
      <c r="C42" s="5"/>
      <c r="D42" s="5"/>
      <c r="E42" s="5"/>
    </row>
  </sheetData>
  <mergeCells count="17">
    <mergeCell ref="A1:E1"/>
    <mergeCell ref="A3:E3"/>
    <mergeCell ref="A4:E7"/>
    <mergeCell ref="A8:E8"/>
    <mergeCell ref="A9:E12"/>
    <mergeCell ref="A13:E13"/>
    <mergeCell ref="A14:E17"/>
    <mergeCell ref="A18:E18"/>
    <mergeCell ref="A19:E22"/>
    <mergeCell ref="A23:E23"/>
    <mergeCell ref="A24:E27"/>
    <mergeCell ref="A28:E28"/>
    <mergeCell ref="A29:E32"/>
    <mergeCell ref="A33:E33"/>
    <mergeCell ref="A34:E37"/>
    <mergeCell ref="A38:E38"/>
    <mergeCell ref="A39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75"/>
  </cols>
  <sheetData>
    <row r="1" customFormat="false" ht="17.25" hidden="false" customHeight="true" outlineLevel="0" collapsed="false">
      <c r="A1" s="2" t="s">
        <v>65</v>
      </c>
      <c r="B1" s="2"/>
      <c r="C1" s="2"/>
      <c r="D1" s="2"/>
    </row>
    <row r="3" customFormat="false" ht="15" hidden="false" customHeight="true" outlineLevel="0" collapsed="false">
      <c r="A3" s="6" t="s">
        <v>241</v>
      </c>
      <c r="B3" s="6" t="s">
        <v>242</v>
      </c>
      <c r="C3" s="6" t="s">
        <v>243</v>
      </c>
      <c r="D3" s="6" t="s">
        <v>244</v>
      </c>
    </row>
    <row r="4" customFormat="false" ht="15" hidden="false" customHeight="true" outlineLevel="0" collapsed="false">
      <c r="A4" s="34" t="s">
        <v>245</v>
      </c>
      <c r="B4" s="34" t="s">
        <v>246</v>
      </c>
      <c r="C4" s="55" t="s">
        <v>247</v>
      </c>
      <c r="D4" s="90" t="s">
        <v>248</v>
      </c>
    </row>
    <row r="5" customFormat="false" ht="15" hidden="false" customHeight="true" outlineLevel="0" collapsed="false">
      <c r="A5" s="34" t="s">
        <v>245</v>
      </c>
      <c r="B5" s="34" t="s">
        <v>249</v>
      </c>
      <c r="C5" s="55" t="s">
        <v>247</v>
      </c>
      <c r="D5" s="90" t="s">
        <v>250</v>
      </c>
    </row>
    <row r="6" customFormat="false" ht="15" hidden="false" customHeight="true" outlineLevel="0" collapsed="false">
      <c r="A6" s="34" t="s">
        <v>245</v>
      </c>
      <c r="B6" s="34" t="s">
        <v>251</v>
      </c>
      <c r="C6" s="55" t="s">
        <v>252</v>
      </c>
      <c r="D6" s="90" t="s">
        <v>253</v>
      </c>
    </row>
    <row r="7" customFormat="false" ht="15" hidden="false" customHeight="true" outlineLevel="0" collapsed="false">
      <c r="A7" s="34" t="s">
        <v>245</v>
      </c>
      <c r="B7" s="34" t="s">
        <v>254</v>
      </c>
      <c r="C7" s="55" t="s">
        <v>255</v>
      </c>
      <c r="D7" s="90" t="s">
        <v>256</v>
      </c>
    </row>
    <row r="8" customFormat="false" ht="15" hidden="false" customHeight="true" outlineLevel="0" collapsed="false">
      <c r="A8" s="34" t="s">
        <v>257</v>
      </c>
      <c r="B8" s="34" t="s">
        <v>258</v>
      </c>
      <c r="C8" s="55" t="s">
        <v>259</v>
      </c>
      <c r="D8" s="90" t="s">
        <v>260</v>
      </c>
    </row>
    <row r="9" customFormat="false" ht="15" hidden="false" customHeight="true" outlineLevel="0" collapsed="false">
      <c r="A9" s="34" t="s">
        <v>257</v>
      </c>
      <c r="B9" s="34" t="s">
        <v>261</v>
      </c>
      <c r="C9" s="55" t="s">
        <v>262</v>
      </c>
      <c r="D9" s="90" t="s">
        <v>263</v>
      </c>
    </row>
    <row r="10" customFormat="false" ht="15" hidden="false" customHeight="true" outlineLevel="0" collapsed="false">
      <c r="A10" s="34" t="s">
        <v>264</v>
      </c>
      <c r="B10" s="34" t="s">
        <v>265</v>
      </c>
      <c r="C10" s="55" t="s">
        <v>247</v>
      </c>
      <c r="D10" s="90" t="s">
        <v>266</v>
      </c>
    </row>
    <row r="11" customFormat="false" ht="15" hidden="false" customHeight="true" outlineLevel="0" collapsed="false">
      <c r="A11" s="34" t="s">
        <v>264</v>
      </c>
      <c r="B11" s="34" t="s">
        <v>267</v>
      </c>
      <c r="C11" s="55" t="s">
        <v>247</v>
      </c>
      <c r="D11" s="90" t="s">
        <v>268</v>
      </c>
    </row>
    <row r="12" customFormat="false" ht="15" hidden="false" customHeight="true" outlineLevel="0" collapsed="false">
      <c r="A12" s="34" t="s">
        <v>264</v>
      </c>
      <c r="B12" s="34" t="s">
        <v>269</v>
      </c>
      <c r="C12" s="55" t="s">
        <v>247</v>
      </c>
      <c r="D12" s="90" t="s">
        <v>270</v>
      </c>
    </row>
    <row r="13" customFormat="false" ht="15" hidden="false" customHeight="true" outlineLevel="0" collapsed="false">
      <c r="A13" s="34" t="s">
        <v>271</v>
      </c>
      <c r="B13" s="34" t="s">
        <v>272</v>
      </c>
      <c r="C13" s="55" t="s">
        <v>273</v>
      </c>
      <c r="D13" s="90" t="s">
        <v>274</v>
      </c>
    </row>
    <row r="14" customFormat="false" ht="15" hidden="false" customHeight="true" outlineLevel="0" collapsed="false">
      <c r="A14" s="34" t="s">
        <v>271</v>
      </c>
      <c r="B14" s="34" t="s">
        <v>275</v>
      </c>
      <c r="C14" s="55" t="s">
        <v>273</v>
      </c>
      <c r="D14" s="90" t="s">
        <v>276</v>
      </c>
    </row>
    <row r="15" customFormat="false" ht="15" hidden="false" customHeight="true" outlineLevel="0" collapsed="false">
      <c r="A15" s="34" t="s">
        <v>277</v>
      </c>
      <c r="B15" s="34" t="s">
        <v>278</v>
      </c>
      <c r="C15" s="55" t="s">
        <v>247</v>
      </c>
      <c r="D15" s="90" t="s">
        <v>279</v>
      </c>
    </row>
    <row r="16" customFormat="false" ht="15" hidden="false" customHeight="true" outlineLevel="0" collapsed="false">
      <c r="A16" s="34" t="s">
        <v>277</v>
      </c>
      <c r="B16" s="34" t="s">
        <v>280</v>
      </c>
      <c r="C16" s="55" t="s">
        <v>247</v>
      </c>
      <c r="D16" s="90" t="s">
        <v>281</v>
      </c>
    </row>
    <row r="17" customFormat="false" ht="15" hidden="false" customHeight="true" outlineLevel="0" collapsed="false">
      <c r="A17" s="34" t="s">
        <v>277</v>
      </c>
      <c r="B17" s="34" t="s">
        <v>282</v>
      </c>
      <c r="C17" s="55" t="s">
        <v>247</v>
      </c>
      <c r="D17" s="90" t="s">
        <v>283</v>
      </c>
    </row>
    <row r="18" customFormat="false" ht="15" hidden="false" customHeight="true" outlineLevel="0" collapsed="false">
      <c r="A18" s="34" t="s">
        <v>277</v>
      </c>
      <c r="B18" s="34" t="s">
        <v>284</v>
      </c>
      <c r="C18" s="55" t="s">
        <v>247</v>
      </c>
      <c r="D18" s="90" t="s">
        <v>285</v>
      </c>
    </row>
    <row r="19" customFormat="false" ht="15" hidden="false" customHeight="true" outlineLevel="0" collapsed="false">
      <c r="A19" s="34" t="s">
        <v>277</v>
      </c>
      <c r="B19" s="34" t="s">
        <v>286</v>
      </c>
      <c r="C19" s="55" t="s">
        <v>252</v>
      </c>
      <c r="D19" s="90" t="s">
        <v>287</v>
      </c>
    </row>
    <row r="20" customFormat="false" ht="15" hidden="false" customHeight="true" outlineLevel="0" collapsed="false">
      <c r="A20" s="34" t="s">
        <v>288</v>
      </c>
      <c r="B20" s="34" t="s">
        <v>289</v>
      </c>
      <c r="C20" s="55" t="s">
        <v>290</v>
      </c>
      <c r="D20" s="90" t="s">
        <v>291</v>
      </c>
    </row>
    <row r="21" customFormat="false" ht="15" hidden="false" customHeight="true" outlineLevel="0" collapsed="false">
      <c r="A21" s="34" t="s">
        <v>288</v>
      </c>
      <c r="B21" s="34" t="s">
        <v>292</v>
      </c>
      <c r="C21" s="55" t="s">
        <v>293</v>
      </c>
      <c r="D21" s="90" t="s">
        <v>294</v>
      </c>
    </row>
    <row r="22" customFormat="false" ht="15" hidden="false" customHeight="true" outlineLevel="0" collapsed="false">
      <c r="A22" s="34" t="s">
        <v>295</v>
      </c>
      <c r="B22" s="34" t="s">
        <v>296</v>
      </c>
      <c r="C22" s="55" t="s">
        <v>247</v>
      </c>
      <c r="D22" s="90" t="s">
        <v>297</v>
      </c>
    </row>
    <row r="23" customFormat="false" ht="15" hidden="false" customHeight="true" outlineLevel="0" collapsed="false">
      <c r="A23" s="34" t="s">
        <v>295</v>
      </c>
      <c r="B23" s="34" t="s">
        <v>298</v>
      </c>
      <c r="C23" s="55" t="s">
        <v>299</v>
      </c>
      <c r="D23" s="90" t="s">
        <v>300</v>
      </c>
    </row>
    <row r="24" customFormat="false" ht="15" hidden="false" customHeight="true" outlineLevel="0" collapsed="false">
      <c r="A24" s="34" t="s">
        <v>301</v>
      </c>
      <c r="B24" s="34" t="s">
        <v>302</v>
      </c>
      <c r="C24" s="55" t="s">
        <v>247</v>
      </c>
      <c r="D24" s="90" t="s">
        <v>303</v>
      </c>
    </row>
    <row r="25" customFormat="false" ht="15" hidden="false" customHeight="true" outlineLevel="0" collapsed="false">
      <c r="A25" s="34" t="s">
        <v>301</v>
      </c>
      <c r="B25" s="34" t="s">
        <v>304</v>
      </c>
      <c r="C25" s="55" t="s">
        <v>247</v>
      </c>
      <c r="D25" s="90" t="s">
        <v>305</v>
      </c>
    </row>
    <row r="26" customFormat="false" ht="15" hidden="false" customHeight="true" outlineLevel="0" collapsed="false">
      <c r="A26" s="34" t="s">
        <v>301</v>
      </c>
      <c r="B26" s="34" t="s">
        <v>306</v>
      </c>
      <c r="C26" s="55" t="s">
        <v>307</v>
      </c>
      <c r="D26" s="90" t="s">
        <v>308</v>
      </c>
    </row>
    <row r="27" customFormat="false" ht="15" hidden="false" customHeight="true" outlineLevel="0" collapsed="false">
      <c r="A27" s="34" t="s">
        <v>309</v>
      </c>
      <c r="B27" s="34" t="s">
        <v>310</v>
      </c>
      <c r="C27" s="55" t="s">
        <v>247</v>
      </c>
      <c r="D27" s="90" t="s">
        <v>311</v>
      </c>
    </row>
    <row r="28" customFormat="false" ht="15" hidden="false" customHeight="true" outlineLevel="0" collapsed="false">
      <c r="A28" s="34" t="s">
        <v>309</v>
      </c>
      <c r="B28" s="34" t="s">
        <v>312</v>
      </c>
      <c r="C28" s="55" t="s">
        <v>247</v>
      </c>
      <c r="D28" s="90" t="s">
        <v>313</v>
      </c>
    </row>
    <row r="29" customFormat="false" ht="15" hidden="false" customHeight="true" outlineLevel="0" collapsed="false">
      <c r="A29" s="34" t="s">
        <v>314</v>
      </c>
      <c r="B29" s="34" t="s">
        <v>315</v>
      </c>
      <c r="C29" s="55" t="s">
        <v>252</v>
      </c>
      <c r="D29" s="90" t="s">
        <v>316</v>
      </c>
    </row>
    <row r="30" customFormat="false" ht="15" hidden="false" customHeight="true" outlineLevel="0" collapsed="false">
      <c r="A30" s="34" t="s">
        <v>314</v>
      </c>
      <c r="B30" s="34" t="s">
        <v>317</v>
      </c>
      <c r="C30" s="55" t="s">
        <v>252</v>
      </c>
      <c r="D30" s="90" t="s">
        <v>318</v>
      </c>
    </row>
  </sheetData>
  <mergeCells count="1">
    <mergeCell ref="A1:D1"/>
  </mergeCells>
  <hyperlinks>
    <hyperlink ref="D4" r:id="rId1" display="https://openlm.ai/chatbot-arena/"/>
    <hyperlink ref="D5" r:id="rId2" display="https://artificialanalysis.ai/leaderboards/models"/>
    <hyperlink ref="D6" r:id="rId3" display="https://artificialanalysis.ai/methodology"/>
    <hyperlink ref="D7" r:id="rId4" display="https://arxiv.org/abs/2406.01574"/>
    <hyperlink ref="D8" r:id="rId5" display="https://openai.com/index/introducing-data-residency-in-europe/"/>
    <hyperlink ref="D9" r:id="rId6" display="https://help.openai.com/en/articles/9903489-eu-data-residency"/>
    <hyperlink ref="D10" r:id="rId7" display="https://platform.claude.com/docs/en/build-with-claude/data-residency"/>
    <hyperlink ref="D11" r:id="rId8" display="https://platform.claude.com/docs/en/build-with-claude/api-and-data-retention"/>
    <hyperlink ref="D12" r:id="rId9" display="https://platform.claude.com/docs/en/api/overview.md"/>
    <hyperlink ref="D13" r:id="rId10" display="https://docs.cloud.google.com/vertex-ai/generative-ai/docs/learn/data-residency"/>
    <hyperlink ref="D14" r:id="rId11" display="https://docs.cloud.google.com/vertex-ai/generative-ai/docs/learn/locations"/>
    <hyperlink ref="D15" r:id="rId12" display="https://mistral.ai/fr/legal"/>
    <hyperlink ref="D16" r:id="rId13" display="https://docs.mistral.ai/deployment/self-deployment"/>
    <hyperlink ref="D17" r:id="rId14" display="https://help.mistral.ai/en/articles/347629-where-do-you-store-my-data-or-my-organization-s-data"/>
    <hyperlink ref="D18" r:id="rId15" display="https://help.mistral.ai/en/articles/347638-do-you-have-soc2-or-iso27001-certification"/>
    <hyperlink ref="D19" r:id="rId16" display="https://huggingface.co/mistralai/Mistral-Large-Instruct-2407"/>
    <hyperlink ref="D20" r:id="rId17" display="https://www.alibabacloud.com/en/notice/model_studio_frankfurt_region_now_available_700"/>
    <hyperlink ref="D21" r:id="rId18" display="https://www.alibabacloud.com/help/en/model-studio/models"/>
    <hyperlink ref="D22" r:id="rId19" display="https://api-docs.deepseek.com/"/>
    <hyperlink ref="D23" r:id="rId20" display="https://cdn.deepseek.com/policies/en-US/deepseek-privacy-policy.html"/>
    <hyperlink ref="D24" r:id="rId21" display="https://github.com/meta-llama/llama-models"/>
    <hyperlink ref="D25" r:id="rId22" display="https://github.com/meta-llama/llama-models/blob/main/models/llama4/LICENSE"/>
    <hyperlink ref="D26" r:id="rId23" display="https://ai.meta.com/blog/llama-4-multimodal-intelligence/"/>
    <hyperlink ref="D27" r:id="rId24" display="https://docs.aleph-alpha.com/phariaai-home/latest/index.html"/>
    <hyperlink ref="D28" r:id="rId25" display="https://docs.aleph-alpha.com/phariaai-install-config-guide/latest/index.html"/>
    <hyperlink ref="D29" r:id="rId26" display="https://www.runpod.io/pricing"/>
    <hyperlink ref="D30" r:id="rId27" display="https://www.coreweave.com/pric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2026-05-06T10:05:09Z</dcterms:created>
  <dc:creator>openpyxl</dc:creator>
  <dc:description/>
  <dc:language>en-US</dc:language>
  <cp:lastModifiedBy/>
  <dcterms:modified xsi:type="dcterms:W3CDTF">2026-05-06T10:14:50Z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